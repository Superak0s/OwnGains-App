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Main Program" sheetId="1" state="visible" r:id="rId3"/>
    <sheet name="Muscle Points (Primary Only)" sheetId="2" state="visible" r:id="rId4"/>
    <sheet name="Muscle Pts (Primary+Secondary)" sheetId="3" state="visible" r:id="rId5"/>
    <sheet name="Exercise DB"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<sst xmlns="http://schemas.openxmlformats.org/spreadsheetml/2006/main" count="2863" uniqueCount="1118">
  <si>
    <t xml:space="preserve">4-Day Condensed Full-Body Training Program (GF / BF)</t>
  </si>
  <si>
    <t xml:space="preserve">Shared exercises, individualized set volumes. BF = upper body/arms/back emphasis. GF = back/legs emphasis. Every day is full-body; exercise order is sequenced to minimize consecutive primary/secondary muscle overlap. Max 32 working sets per person per day. Rest 60-90s (isolation), 90-120s (compound). Primary/Secondary Muscles auto-populate from the Exercise DB sheet based on the Exercise name — change the exercise (use the dropdown) and muscles update automatically.</t>
  </si>
  <si>
    <t xml:space="preserve">Day</t>
  </si>
  <si>
    <t xml:space="preserve">Exercise</t>
  </si>
  <si>
    <t xml:space="preserve">Primary Muscles</t>
  </si>
  <si>
    <t xml:space="preserve">Secondary Muscles</t>
  </si>
  <si>
    <t xml:space="preserve">GF Sets</t>
  </si>
  <si>
    <t xml:space="preserve">BF Sets</t>
  </si>
  <si>
    <t xml:space="preserve">Reps</t>
  </si>
  <si>
    <t xml:space="preserve">Day 1 - Full Body A</t>
  </si>
  <si>
    <t xml:space="preserve">Smith Machine Bench Press</t>
  </si>
  <si>
    <t xml:space="preserve">8-10</t>
  </si>
  <si>
    <t xml:space="preserve">Seated Cable Rows</t>
  </si>
  <si>
    <t xml:space="preserve">10-12</t>
  </si>
  <si>
    <t xml:space="preserve">Machine Lateral Raise</t>
  </si>
  <si>
    <t xml:space="preserve">12-15</t>
  </si>
  <si>
    <t xml:space="preserve">Machine Preacher Curls</t>
  </si>
  <si>
    <t xml:space="preserve">Machine Triceps Extension</t>
  </si>
  <si>
    <t xml:space="preserve">Barbell Hip Thrust</t>
  </si>
  <si>
    <t xml:space="preserve">Leg Extensions</t>
  </si>
  <si>
    <t xml:space="preserve">Thigh Adductor</t>
  </si>
  <si>
    <t xml:space="preserve">Ab Crunch Machine</t>
  </si>
  <si>
    <t xml:space="preserve">Torso Rotation</t>
  </si>
  <si>
    <t xml:space="preserve">Dumbbell Shrug</t>
  </si>
  <si>
    <t xml:space="preserve">Day Total Sets:</t>
  </si>
  <si>
    <t xml:space="preserve">Day 2 - Full Body B</t>
  </si>
  <si>
    <t xml:space="preserve">Leverage Incline Chest Press</t>
  </si>
  <si>
    <t xml:space="preserve">Pull Through</t>
  </si>
  <si>
    <t xml:space="preserve">Assisted Pull-Up</t>
  </si>
  <si>
    <t xml:space="preserve">6-10</t>
  </si>
  <si>
    <t xml:space="preserve">Leg Press</t>
  </si>
  <si>
    <t xml:space="preserve">Leverage Shoulder Press</t>
  </si>
  <si>
    <t xml:space="preserve">Lying Leg Curls</t>
  </si>
  <si>
    <t xml:space="preserve">Standing Calf Raises</t>
  </si>
  <si>
    <t xml:space="preserve">Reverse Cable Curl</t>
  </si>
  <si>
    <t xml:space="preserve">Hyperextensions (Back Extensions)</t>
  </si>
  <si>
    <t xml:space="preserve">Day 3 - Full Body C</t>
  </si>
  <si>
    <t xml:space="preserve">Leverage Chest Press</t>
  </si>
  <si>
    <t xml:space="preserve">Thigh Abductor</t>
  </si>
  <si>
    <t xml:space="preserve">Seated Leg Curl</t>
  </si>
  <si>
    <t xml:space="preserve">Barbell Curl</t>
  </si>
  <si>
    <t xml:space="preserve">Cable Rope Overhead Triceps Extension</t>
  </si>
  <si>
    <t xml:space="preserve">Day 4 - Full Body D</t>
  </si>
  <si>
    <t xml:space="preserve">Butterfly</t>
  </si>
  <si>
    <t xml:space="preserve">Glute Kickback</t>
  </si>
  <si>
    <t xml:space="preserve">Incline Dumbbell Curl</t>
  </si>
  <si>
    <t xml:space="preserve">WEEKLY TOTAL SETS:</t>
  </si>
  <si>
    <t xml:space="preserve">Weekly Muscle Points - Primary Muscle Only (1 point per set)</t>
  </si>
  <si>
    <t xml:space="preserve">Target: ~10-20 points/muscle/week, except muscles with an explicit set target below.</t>
  </si>
  <si>
    <t xml:space="preserve">Muscle</t>
  </si>
  <si>
    <t xml:space="preserve">GF Points</t>
  </si>
  <si>
    <t xml:space="preserve">BF Points</t>
  </si>
  <si>
    <t xml:space="preserve">Target</t>
  </si>
  <si>
    <t xml:space="preserve">GF Status</t>
  </si>
  <si>
    <t xml:space="preserve">BF Status</t>
  </si>
  <si>
    <t xml:space="preserve">Chest</t>
  </si>
  <si>
    <t xml:space="preserve">10-20</t>
  </si>
  <si>
    <t xml:space="preserve">Middle Back</t>
  </si>
  <si>
    <t xml:space="preserve">Lats</t>
  </si>
  <si>
    <t xml:space="preserve">Traps</t>
  </si>
  <si>
    <t xml:space="preserve">Shoulders</t>
  </si>
  <si>
    <t xml:space="preserve">Biceps</t>
  </si>
  <si>
    <t xml:space="preserve">Triceps</t>
  </si>
  <si>
    <t xml:space="preserve">Forearms</t>
  </si>
  <si>
    <t xml:space="preserve">Abdominals</t>
  </si>
  <si>
    <t xml:space="preserve">Glutes</t>
  </si>
  <si>
    <t xml:space="preserve">Quadriceps</t>
  </si>
  <si>
    <t xml:space="preserve">Hamstrings</t>
  </si>
  <si>
    <t xml:space="preserve">Adductors</t>
  </si>
  <si>
    <t xml:space="preserve">Abductors</t>
  </si>
  <si>
    <t xml:space="preserve">Calves</t>
  </si>
  <si>
    <t xml:space="preserve">Lower Back</t>
  </si>
  <si>
    <t xml:space="preserve">Neck</t>
  </si>
  <si>
    <t xml:space="preserve">Note: Status is based solely on the 10-20 sets/week range for every muscle. Points count any exercise whose Primary Muscles list contains that muscle (substring match), so this table stays accurate even as you swap exercises via the dropdown.</t>
  </si>
  <si>
    <t xml:space="preserve">Weekly Muscle Points - Primary (1 pt) + Secondary (0.5 pt) per Set</t>
  </si>
  <si>
    <t xml:space="preserve">Target: ~10-20 points/muscle/week, except muscles with an explicit set target below (target column reflects the primary-only set target).</t>
  </si>
  <si>
    <t xml:space="preserve">Note: Status is based solely on the 10-20 sets/week range for every muscle. Secondary-muscle contributions are 0.5 pt/set and counted whenever that muscle appears anywhere in the Secondary Muscles list for a set.</t>
  </si>
  <si>
    <t xml:space="preserve">Exercise Name</t>
  </si>
  <si>
    <t xml:space="preserve">3/4 Sit-Up</t>
  </si>
  <si>
    <t xml:space="preserve">[Abdominals]</t>
  </si>
  <si>
    <t xml:space="preserve">[]</t>
  </si>
  <si>
    <t xml:space="preserve">90/90 Hamstring</t>
  </si>
  <si>
    <t xml:space="preserve">[Hamstrings]</t>
  </si>
  <si>
    <t xml:space="preserve">[Calves]</t>
  </si>
  <si>
    <t xml:space="preserve">Ab Roller</t>
  </si>
  <si>
    <t xml:space="preserve">[Shoulders]</t>
  </si>
  <si>
    <t xml:space="preserve">Adductor</t>
  </si>
  <si>
    <t xml:space="preserve">[Adductors]</t>
  </si>
  <si>
    <t xml:space="preserve">Adductor/Groin</t>
  </si>
  <si>
    <t xml:space="preserve">Advanced Kettlebell Windmill</t>
  </si>
  <si>
    <t xml:space="preserve">[Glutes, Hamstrings, Shoulders]</t>
  </si>
  <si>
    <t xml:space="preserve">Air Bike</t>
  </si>
  <si>
    <t xml:space="preserve">All Fours Quad Stretch</t>
  </si>
  <si>
    <t xml:space="preserve">[Quadriceps]</t>
  </si>
  <si>
    <t xml:space="preserve">Alternate Hammer Curl</t>
  </si>
  <si>
    <t xml:space="preserve">[Biceps]</t>
  </si>
  <si>
    <t xml:space="preserve">[Forearms]</t>
  </si>
  <si>
    <t xml:space="preserve">Alternate Heel Touchers</t>
  </si>
  <si>
    <t xml:space="preserve">Alternate Incline Dumbbell Curl</t>
  </si>
  <si>
    <t xml:space="preserve">Alternate Leg Diagonal Bound</t>
  </si>
  <si>
    <t xml:space="preserve">[Abductors, Adductors, Calves, Glutes, Hamstrings]</t>
  </si>
  <si>
    <t xml:space="preserve">Alternating Cable Shoulder Press</t>
  </si>
  <si>
    <t xml:space="preserve">[Triceps]</t>
  </si>
  <si>
    <t xml:space="preserve">Alternating Deltoid Raise</t>
  </si>
  <si>
    <t xml:space="preserve">Alternating Floor Press</t>
  </si>
  <si>
    <t xml:space="preserve">[Chest]</t>
  </si>
  <si>
    <t xml:space="preserve">[Abdominals, Shoulders, Triceps]</t>
  </si>
  <si>
    <t xml:space="preserve">Alternating Hang Clean</t>
  </si>
  <si>
    <t xml:space="preserve">[Biceps, Calves, Forearms, Glutes, Lower Back, Traps]</t>
  </si>
  <si>
    <t xml:space="preserve">Alternating Kettlebell Press</t>
  </si>
  <si>
    <t xml:space="preserve">Alternating Kettlebell Row</t>
  </si>
  <si>
    <t xml:space="preserve">[Middle Back]</t>
  </si>
  <si>
    <t xml:space="preserve">[Biceps, Lats]</t>
  </si>
  <si>
    <t xml:space="preserve">Alternating Renegade Row</t>
  </si>
  <si>
    <t xml:space="preserve">[Abdominals, Biceps, Chest, Lats, Triceps]</t>
  </si>
  <si>
    <t xml:space="preserve">Ankle Circles</t>
  </si>
  <si>
    <t xml:space="preserve">Ankle On The Knee</t>
  </si>
  <si>
    <t xml:space="preserve">[Glutes]</t>
  </si>
  <si>
    <t xml:space="preserve">Anterior Tibialis-SMR</t>
  </si>
  <si>
    <t xml:space="preserve">Anti-Gravity Press</t>
  </si>
  <si>
    <t xml:space="preserve">[Middle Back, Traps, Triceps]</t>
  </si>
  <si>
    <t xml:space="preserve">Arm Circles</t>
  </si>
  <si>
    <t xml:space="preserve">[Traps]</t>
  </si>
  <si>
    <t xml:space="preserve">Arnold Dumbbell Press</t>
  </si>
  <si>
    <t xml:space="preserve">Around The Worlds</t>
  </si>
  <si>
    <t xml:space="preserve">Atlas Stone Trainer</t>
  </si>
  <si>
    <t xml:space="preserve">[Lower Back]</t>
  </si>
  <si>
    <t xml:space="preserve">[Biceps, Forearms, Glutes, Hamstrings, Quadriceps]</t>
  </si>
  <si>
    <t xml:space="preserve">Atlas Stones</t>
  </si>
  <si>
    <t xml:space="preserve">[Abdominals, Adductors, Biceps, Calves, Forearms, Glutes, Hamstrings, Middle Back, Quadriceps, Traps]</t>
  </si>
  <si>
    <t xml:space="preserve">Axle Deadlift</t>
  </si>
  <si>
    <t xml:space="preserve">[Forearms, Glutes, Hamstrings, Middle Back, Quadriceps, Traps]</t>
  </si>
  <si>
    <t xml:space="preserve">Back Flyes - With Bands</t>
  </si>
  <si>
    <t xml:space="preserve">[Middle Back, Triceps]</t>
  </si>
  <si>
    <t xml:space="preserve">Backward Drag</t>
  </si>
  <si>
    <t xml:space="preserve">[Calves, Forearms, Glutes, Hamstrings, Lower Back]</t>
  </si>
  <si>
    <t xml:space="preserve">Backward Medicine Ball Throw</t>
  </si>
  <si>
    <t xml:space="preserve">Balance Board</t>
  </si>
  <si>
    <t xml:space="preserve">[Hamstrings, Quadriceps]</t>
  </si>
  <si>
    <t xml:space="preserve">Ball Leg Curl</t>
  </si>
  <si>
    <t xml:space="preserve">[Calves, Glutes]</t>
  </si>
  <si>
    <t xml:space="preserve">Band Assisted Pull-Up</t>
  </si>
  <si>
    <t xml:space="preserve">[Lats]</t>
  </si>
  <si>
    <t xml:space="preserve">[Abdominals, Forearms, Middle Back]</t>
  </si>
  <si>
    <t xml:space="preserve">Band Good Morning</t>
  </si>
  <si>
    <t xml:space="preserve">[Glutes, Lower Back]</t>
  </si>
  <si>
    <t xml:space="preserve">Band Good Morning (Pull Through)</t>
  </si>
  <si>
    <t xml:space="preserve">Band Hip Adductions</t>
  </si>
  <si>
    <t xml:space="preserve">Band Pull Apart</t>
  </si>
  <si>
    <t xml:space="preserve">[Middle Back, Traps]</t>
  </si>
  <si>
    <t xml:space="preserve">Band Skull Crusher</t>
  </si>
  <si>
    <t xml:space="preserve">Barbell Ab Rollout</t>
  </si>
  <si>
    <t xml:space="preserve">[Lower Back, Shoulders]</t>
  </si>
  <si>
    <t xml:space="preserve">Barbell Ab Rollout - On Knees</t>
  </si>
  <si>
    <t xml:space="preserve">Barbell Bench Press - Medium Grip</t>
  </si>
  <si>
    <t xml:space="preserve">[Shoulders, Triceps]</t>
  </si>
  <si>
    <t xml:space="preserve">Barbell Curls Lying Against An Incline</t>
  </si>
  <si>
    <t xml:space="preserve">Barbell Deadlift</t>
  </si>
  <si>
    <t xml:space="preserve">[Calves, Forearms, Glutes, Hamstrings, Lats, Middle Back, Quadriceps, Traps]</t>
  </si>
  <si>
    <t xml:space="preserve">Barbell Full Squat</t>
  </si>
  <si>
    <t xml:space="preserve">[Calves, Glutes, Hamstrings, Lower Back]</t>
  </si>
  <si>
    <t xml:space="preserve">Barbell Glute Bridge</t>
  </si>
  <si>
    <t xml:space="preserve">[Calves, Hamstrings]</t>
  </si>
  <si>
    <t xml:space="preserve">Barbell Guillotine Bench Press</t>
  </si>
  <si>
    <t xml:space="preserve">Barbell Hack Squat</t>
  </si>
  <si>
    <t xml:space="preserve">[Calves, Forearms, Hamstrings]</t>
  </si>
  <si>
    <t xml:space="preserve">Barbell Incline Bench Press - Medium Grip</t>
  </si>
  <si>
    <t xml:space="preserve">Barbell Incline Shoulder Raise</t>
  </si>
  <si>
    <t xml:space="preserve">Barbell Lunge</t>
  </si>
  <si>
    <t xml:space="preserve">[Calves, Glutes, Hamstrings]</t>
  </si>
  <si>
    <t xml:space="preserve">Barbell Rear Delt Row</t>
  </si>
  <si>
    <t xml:space="preserve">[Biceps, Lats, Middle Back]</t>
  </si>
  <si>
    <t xml:space="preserve">Barbell Rollout from Bench</t>
  </si>
  <si>
    <t xml:space="preserve">[Glutes, Hamstrings, Lats, Shoulders]</t>
  </si>
  <si>
    <t xml:space="preserve">Barbell Seated Calf Raise</t>
  </si>
  <si>
    <t xml:space="preserve">Barbell Shoulder Press</t>
  </si>
  <si>
    <t xml:space="preserve">[Chest, Triceps]</t>
  </si>
  <si>
    <t xml:space="preserve">Barbell Shrug</t>
  </si>
  <si>
    <t xml:space="preserve">Barbell Shrug Behind The Back</t>
  </si>
  <si>
    <t xml:space="preserve">[Forearms, Middle Back]</t>
  </si>
  <si>
    <t xml:space="preserve">Barbell Side Bend</t>
  </si>
  <si>
    <t xml:space="preserve">Barbell Side Split Squat</t>
  </si>
  <si>
    <t xml:space="preserve">[Calves, Hamstrings, Lower Back]</t>
  </si>
  <si>
    <t xml:space="preserve">Barbell Squat</t>
  </si>
  <si>
    <t xml:space="preserve">Barbell Squat To A Bench</t>
  </si>
  <si>
    <t xml:space="preserve">Barbell Step Ups</t>
  </si>
  <si>
    <t xml:space="preserve">[Calves, Glutes, Hamstrings, Quadriceps]</t>
  </si>
  <si>
    <t xml:space="preserve">Barbell Walking Lunge</t>
  </si>
  <si>
    <t xml:space="preserve">Battling Ropes</t>
  </si>
  <si>
    <t xml:space="preserve">[Chest, Forearms]</t>
  </si>
  <si>
    <t xml:space="preserve">Bear Crawl Sled Drags</t>
  </si>
  <si>
    <t xml:space="preserve">Behind Head Chest Stretch</t>
  </si>
  <si>
    <t xml:space="preserve">Bench Dips</t>
  </si>
  <si>
    <t xml:space="preserve">[Chest, Shoulders]</t>
  </si>
  <si>
    <t xml:space="preserve">Bench Jump</t>
  </si>
  <si>
    <t xml:space="preserve">Bench Press - Powerlifting</t>
  </si>
  <si>
    <t xml:space="preserve">[Chest, Forearms, Lats, Shoulders]</t>
  </si>
  <si>
    <t xml:space="preserve">Bench Press - With Bands</t>
  </si>
  <si>
    <t xml:space="preserve">Bench Press with Chains</t>
  </si>
  <si>
    <t xml:space="preserve">[Chest, Lats, Shoulders]</t>
  </si>
  <si>
    <t xml:space="preserve">Bench Sprint</t>
  </si>
  <si>
    <t xml:space="preserve">Bent-Arm Barbell Pullover</t>
  </si>
  <si>
    <t xml:space="preserve">[Chest, Lats, Shoulders, Triceps]</t>
  </si>
  <si>
    <t xml:space="preserve">Bent-Arm Dumbbell Pullover</t>
  </si>
  <si>
    <t xml:space="preserve">[Lats, Shoulders, Triceps]</t>
  </si>
  <si>
    <t xml:space="preserve">Bent-Knee Hip Raise</t>
  </si>
  <si>
    <t xml:space="preserve">Bent Over Barbell Row</t>
  </si>
  <si>
    <t xml:space="preserve">[Biceps, Lats, Shoulders]</t>
  </si>
  <si>
    <t xml:space="preserve">Bent Over Dumbbell Rear Delt Raise With Head On Bench</t>
  </si>
  <si>
    <t xml:space="preserve">Bent Over Low-Pulley Side Lateral</t>
  </si>
  <si>
    <t xml:space="preserve">[Lower Back, Middle Back, Traps]</t>
  </si>
  <si>
    <t xml:space="preserve">Bent Over One-Arm Long Bar Row</t>
  </si>
  <si>
    <t xml:space="preserve">[Biceps, Lats, Lower Back, Traps]</t>
  </si>
  <si>
    <t xml:space="preserve">Bent Over Two-Arm Long Bar Row</t>
  </si>
  <si>
    <t xml:space="preserve">Bent Over Two-Dumbbell Row</t>
  </si>
  <si>
    <t xml:space="preserve">Bent Over Two-Dumbbell Row With Palms In</t>
  </si>
  <si>
    <t xml:space="preserve">Bent Press</t>
  </si>
  <si>
    <t xml:space="preserve">[Glutes, Hamstrings, Lower Back, Quadriceps, Shoulders, Triceps]</t>
  </si>
  <si>
    <t xml:space="preserve">Bicycling</t>
  </si>
  <si>
    <t xml:space="preserve">Bicycling, Stationary</t>
  </si>
  <si>
    <t xml:space="preserve">Board Press</t>
  </si>
  <si>
    <t xml:space="preserve">Body-Up</t>
  </si>
  <si>
    <t xml:space="preserve">[Abdominals, Forearms]</t>
  </si>
  <si>
    <t xml:space="preserve">Body Tricep Press</t>
  </si>
  <si>
    <t xml:space="preserve">Bodyweight Flyes</t>
  </si>
  <si>
    <t xml:space="preserve">Bodyweight Mid Row</t>
  </si>
  <si>
    <t xml:space="preserve">Bodyweight Squat</t>
  </si>
  <si>
    <t xml:space="preserve">[Glutes, Hamstrings]</t>
  </si>
  <si>
    <t xml:space="preserve">Bodyweight Walking Lunge</t>
  </si>
  <si>
    <t xml:space="preserve">Bosu Ball Cable Crunch With Side Bends</t>
  </si>
  <si>
    <t xml:space="preserve">Bottoms-Up Clean From The Hang Position</t>
  </si>
  <si>
    <t xml:space="preserve">[Biceps, Shoulders]</t>
  </si>
  <si>
    <t xml:space="preserve">Bottoms Up</t>
  </si>
  <si>
    <t xml:space="preserve">Box Jump (Multiple Response)</t>
  </si>
  <si>
    <t xml:space="preserve">[Abductors, Adductors, Calves, Glutes, Quadriceps]</t>
  </si>
  <si>
    <t xml:space="preserve">Box Skip</t>
  </si>
  <si>
    <t xml:space="preserve">Box Squat</t>
  </si>
  <si>
    <t xml:space="preserve">[Adductors, Calves, Glutes, Hamstrings, Lower Back]</t>
  </si>
  <si>
    <t xml:space="preserve">Box Squat with Bands</t>
  </si>
  <si>
    <t xml:space="preserve">[Abductors, Adductors, Calves, Glutes, Hamstrings, Lower Back]</t>
  </si>
  <si>
    <t xml:space="preserve">Box Squat with Chains</t>
  </si>
  <si>
    <t xml:space="preserve">Brachialis-SMR</t>
  </si>
  <si>
    <t xml:space="preserve">Bradford/Rocky Presses</t>
  </si>
  <si>
    <t xml:space="preserve">Butt-Ups</t>
  </si>
  <si>
    <t xml:space="preserve">Butt Lift (Bridge)</t>
  </si>
  <si>
    <t xml:space="preserve">Cable Chest Press</t>
  </si>
  <si>
    <t xml:space="preserve">Cable Crossover</t>
  </si>
  <si>
    <t xml:space="preserve">Cable Crunch</t>
  </si>
  <si>
    <t xml:space="preserve">Cable Deadlifts</t>
  </si>
  <si>
    <t xml:space="preserve">[Forearms, Glutes, Hamstrings, Lower Back]</t>
  </si>
  <si>
    <t xml:space="preserve">Cable Hammer Curls - Rope Attachment</t>
  </si>
  <si>
    <t xml:space="preserve">Cable Hip Adduction</t>
  </si>
  <si>
    <t xml:space="preserve">Cable Incline Pushdown</t>
  </si>
  <si>
    <t xml:space="preserve">Cable Incline Triceps Extension</t>
  </si>
  <si>
    <t xml:space="preserve">Cable Internal Rotation</t>
  </si>
  <si>
    <t xml:space="preserve">Cable Iron Cross</t>
  </si>
  <si>
    <t xml:space="preserve">Cable Judo Flip</t>
  </si>
  <si>
    <t xml:space="preserve">Cable Lying Triceps Extension</t>
  </si>
  <si>
    <t xml:space="preserve">Cable One Arm Tricep Extension</t>
  </si>
  <si>
    <t xml:space="preserve">Cable Preacher Curl</t>
  </si>
  <si>
    <t xml:space="preserve">Cable Rear Delt Fly</t>
  </si>
  <si>
    <t xml:space="preserve">Cable Reverse Crunch</t>
  </si>
  <si>
    <t xml:space="preserve">Cable Rope Rear-Delt Rows</t>
  </si>
  <si>
    <t xml:space="preserve">[Biceps, Middle Back]</t>
  </si>
  <si>
    <t xml:space="preserve">Cable Russian Twists</t>
  </si>
  <si>
    <t xml:space="preserve">Cable Seated Crunch</t>
  </si>
  <si>
    <t xml:space="preserve">Cable Seated Lateral Raise</t>
  </si>
  <si>
    <t xml:space="preserve">Cable Shoulder Press</t>
  </si>
  <si>
    <t xml:space="preserve">Cable Shrugs</t>
  </si>
  <si>
    <t xml:space="preserve">Cable Wrist Curl</t>
  </si>
  <si>
    <t xml:space="preserve">Calf-Machine Shoulder Shrug</t>
  </si>
  <si>
    <t xml:space="preserve">Calf Press</t>
  </si>
  <si>
    <t xml:space="preserve">Calf Press On The Leg Press Machine</t>
  </si>
  <si>
    <t xml:space="preserve">Calf Raise On A Dumbbell</t>
  </si>
  <si>
    <t xml:space="preserve">Calf Raises - With Bands</t>
  </si>
  <si>
    <t xml:space="preserve">Calf Stretch Elbows Against Wall</t>
  </si>
  <si>
    <t xml:space="preserve">Calf Stretch Hands Against Wall</t>
  </si>
  <si>
    <t xml:space="preserve">Calves-SMR</t>
  </si>
  <si>
    <t xml:space="preserve">Car Deadlift</t>
  </si>
  <si>
    <t xml:space="preserve">[Forearms, Glutes, Hamstrings, Lower Back, Traps]</t>
  </si>
  <si>
    <t xml:space="preserve">Car Drivers</t>
  </si>
  <si>
    <t xml:space="preserve">Carioca Quick Step</t>
  </si>
  <si>
    <t xml:space="preserve">[Abdominals, Abductors, Calves, Glutes, Hamstrings, Quadriceps]</t>
  </si>
  <si>
    <t xml:space="preserve">Cat Stretch</t>
  </si>
  <si>
    <t xml:space="preserve">Catch and Overhead Throw</t>
  </si>
  <si>
    <t xml:space="preserve">[Abdominals, Chest, Shoulders]</t>
  </si>
  <si>
    <t xml:space="preserve">Chain Handle Extension</t>
  </si>
  <si>
    <t xml:space="preserve">Chain Press</t>
  </si>
  <si>
    <t xml:space="preserve">Chair Leg Extended Stretch</t>
  </si>
  <si>
    <t xml:space="preserve">Chair Lower Back Stretch</t>
  </si>
  <si>
    <t xml:space="preserve">Chair Squat</t>
  </si>
  <si>
    <t xml:space="preserve">Chair Upper Body Stretch</t>
  </si>
  <si>
    <t xml:space="preserve">[Biceps, Chest]</t>
  </si>
  <si>
    <t xml:space="preserve">Chest And Front Of Shoulder Stretch</t>
  </si>
  <si>
    <t xml:space="preserve">Chest Push from 3 point stance</t>
  </si>
  <si>
    <t xml:space="preserve">Chest Push (multiple response)</t>
  </si>
  <si>
    <t xml:space="preserve">Chest Push (single response)</t>
  </si>
  <si>
    <t xml:space="preserve">Chest Push with Run Release</t>
  </si>
  <si>
    <t xml:space="preserve">Chest Stretch on Stability Ball</t>
  </si>
  <si>
    <t xml:space="preserve">Child's Pose</t>
  </si>
  <si>
    <t xml:space="preserve">[Glutes, Middle Back]</t>
  </si>
  <si>
    <t xml:space="preserve">Chin-Up</t>
  </si>
  <si>
    <t xml:space="preserve">[Biceps, Forearms, Middle Back]</t>
  </si>
  <si>
    <t xml:space="preserve">Chin To Chest Stretch</t>
  </si>
  <si>
    <t xml:space="preserve">[Neck]</t>
  </si>
  <si>
    <t xml:space="preserve">Circus Bell</t>
  </si>
  <si>
    <t xml:space="preserve">[Forearms, Glutes, Hamstrings, Lower Back, Traps, Triceps]</t>
  </si>
  <si>
    <t xml:space="preserve">Clean</t>
  </si>
  <si>
    <t xml:space="preserve">[Calves, Forearms, Glutes, Lower Back, Quadriceps, Shoulders, Traps]</t>
  </si>
  <si>
    <t xml:space="preserve">Clean Deadlift</t>
  </si>
  <si>
    <t xml:space="preserve">[Forearms, Glutes, Lower Back, Middle Back, Quadriceps, Traps]</t>
  </si>
  <si>
    <t xml:space="preserve">Clean Pull</t>
  </si>
  <si>
    <t xml:space="preserve">Clean Shrug</t>
  </si>
  <si>
    <t xml:space="preserve">[Forearms, Shoulders]</t>
  </si>
  <si>
    <t xml:space="preserve">Clean and Jerk</t>
  </si>
  <si>
    <t xml:space="preserve">[Abdominals, Glutes, Hamstrings, Lower Back, Quadriceps, Traps, Triceps]</t>
  </si>
  <si>
    <t xml:space="preserve">Clean and Press</t>
  </si>
  <si>
    <t xml:space="preserve">[Abdominals, Calves, Glutes, Hamstrings, Lower Back, Middle Back, Quadriceps, Shoulders, Traps, Triceps]</t>
  </si>
  <si>
    <t xml:space="preserve">Clean from Blocks</t>
  </si>
  <si>
    <t xml:space="preserve">[Calves, Glutes, Hamstrings, Shoulders, Traps]</t>
  </si>
  <si>
    <t xml:space="preserve">Clock Push-Up</t>
  </si>
  <si>
    <t xml:space="preserve">Close-Grip Barbell Bench Press</t>
  </si>
  <si>
    <t xml:space="preserve">Close-Grip Dumbbell Press</t>
  </si>
  <si>
    <t xml:space="preserve">Close-Grip EZ-Bar Curl with Band</t>
  </si>
  <si>
    <t xml:space="preserve">Close-Grip EZ-Bar Press</t>
  </si>
  <si>
    <t xml:space="preserve">Close-Grip EZ Bar Curl</t>
  </si>
  <si>
    <t xml:space="preserve">Close-Grip Front Lat Pulldown</t>
  </si>
  <si>
    <t xml:space="preserve">[Biceps, Middle Back, Shoulders]</t>
  </si>
  <si>
    <t xml:space="preserve">Close-Grip Push-Up off of a Dumbbell</t>
  </si>
  <si>
    <t xml:space="preserve">Close-Grip Standing Barbell Curl</t>
  </si>
  <si>
    <t xml:space="preserve">Cocoons</t>
  </si>
  <si>
    <t xml:space="preserve">Conan's Wheel</t>
  </si>
  <si>
    <t xml:space="preserve">[Abdominals, Biceps, Calves, Forearms, Lower Back, Shoulders, Traps]</t>
  </si>
  <si>
    <t xml:space="preserve">Concentration Curls</t>
  </si>
  <si>
    <t xml:space="preserve">Cross-Body Crunch</t>
  </si>
  <si>
    <t xml:space="preserve">Cross Body Hammer Curl</t>
  </si>
  <si>
    <t xml:space="preserve">Cross Over - With Bands</t>
  </si>
  <si>
    <t xml:space="preserve">Crossover Reverse Lunge</t>
  </si>
  <si>
    <t xml:space="preserve">[Abdominals, Abductors, Glutes, Hamstrings, Quadriceps]</t>
  </si>
  <si>
    <t xml:space="preserve">Crucifix</t>
  </si>
  <si>
    <t xml:space="preserve">Crunch - Hands Overhead</t>
  </si>
  <si>
    <t xml:space="preserve">Crunch - Legs On Exercise Ball</t>
  </si>
  <si>
    <t xml:space="preserve">Crunches</t>
  </si>
  <si>
    <t xml:space="preserve">Cuban Press</t>
  </si>
  <si>
    <t xml:space="preserve">Dancer's Stretch</t>
  </si>
  <si>
    <t xml:space="preserve">[Abductors, Glutes]</t>
  </si>
  <si>
    <t xml:space="preserve">Dead Bug</t>
  </si>
  <si>
    <t xml:space="preserve">Deadlift with Bands</t>
  </si>
  <si>
    <t xml:space="preserve">Deadlift with Chains</t>
  </si>
  <si>
    <t xml:space="preserve">Decline Barbell Bench Press</t>
  </si>
  <si>
    <t xml:space="preserve">Decline Close-Grip Bench To Skull Crusher</t>
  </si>
  <si>
    <t xml:space="preserve">Decline Crunch</t>
  </si>
  <si>
    <t xml:space="preserve">Decline Dumbbell Bench Press</t>
  </si>
  <si>
    <t xml:space="preserve">Decline Dumbbell Flyes</t>
  </si>
  <si>
    <t xml:space="preserve">Decline Dumbbell Triceps Extension</t>
  </si>
  <si>
    <t xml:space="preserve">Decline EZ Bar Triceps Extension</t>
  </si>
  <si>
    <t xml:space="preserve">Decline Oblique Crunch</t>
  </si>
  <si>
    <t xml:space="preserve">Decline Push-Up</t>
  </si>
  <si>
    <t xml:space="preserve">Decline Reverse Crunch</t>
  </si>
  <si>
    <t xml:space="preserve">Decline Smith Press</t>
  </si>
  <si>
    <t xml:space="preserve">Deficit Deadlift</t>
  </si>
  <si>
    <t xml:space="preserve">Depth Jump Leap</t>
  </si>
  <si>
    <t xml:space="preserve">Dip Machine</t>
  </si>
  <si>
    <t xml:space="preserve">Dips - Chest Version</t>
  </si>
  <si>
    <t xml:space="preserve">Dips - Triceps Version</t>
  </si>
  <si>
    <t xml:space="preserve">Donkey Calf Raises</t>
  </si>
  <si>
    <t xml:space="preserve">Double Kettlebell Alternating Hang Clean</t>
  </si>
  <si>
    <t xml:space="preserve">[Biceps, Calves, Forearms, Glutes, Lower Back, Quadriceps, Traps]</t>
  </si>
  <si>
    <t xml:space="preserve">Double Kettlebell Jerk</t>
  </si>
  <si>
    <t xml:space="preserve">[Calves, Quadriceps, Triceps]</t>
  </si>
  <si>
    <t xml:space="preserve">Double Kettlebell Push Press</t>
  </si>
  <si>
    <t xml:space="preserve">Double Kettlebell Snatch</t>
  </si>
  <si>
    <t xml:space="preserve">[Glutes, Hamstrings, Quadriceps]</t>
  </si>
  <si>
    <t xml:space="preserve">Double Kettlebell Windmill</t>
  </si>
  <si>
    <t xml:space="preserve">[Glutes, Hamstrings, Shoulders, Triceps]</t>
  </si>
  <si>
    <t xml:space="preserve">Double Leg Butt Kick</t>
  </si>
  <si>
    <t xml:space="preserve">Downward Facing Balance</t>
  </si>
  <si>
    <t xml:space="preserve">[Abdominals, Hamstrings]</t>
  </si>
  <si>
    <t xml:space="preserve">Drag Curl</t>
  </si>
  <si>
    <t xml:space="preserve">Drop Push</t>
  </si>
  <si>
    <t xml:space="preserve">Dumbbell Alternate Bicep Curl</t>
  </si>
  <si>
    <t xml:space="preserve">Dumbbell Bench Press</t>
  </si>
  <si>
    <t xml:space="preserve">Dumbbell Bench Press with Neutral Grip</t>
  </si>
  <si>
    <t xml:space="preserve">Dumbbell Bicep Curl</t>
  </si>
  <si>
    <t xml:space="preserve">Dumbbell Clean</t>
  </si>
  <si>
    <t xml:space="preserve">Dumbbell Floor Press</t>
  </si>
  <si>
    <t xml:space="preserve">Dumbbell Flyes</t>
  </si>
  <si>
    <t xml:space="preserve">Dumbbell Incline Row</t>
  </si>
  <si>
    <t xml:space="preserve">[Biceps, Forearms, Lats, Shoulders]</t>
  </si>
  <si>
    <t xml:space="preserve">Dumbbell Incline Shoulder Raise</t>
  </si>
  <si>
    <t xml:space="preserve">Dumbbell Lunges</t>
  </si>
  <si>
    <t xml:space="preserve">Dumbbell Lying One-Arm Rear Lateral Raise</t>
  </si>
  <si>
    <t xml:space="preserve">Dumbbell Lying Pronation</t>
  </si>
  <si>
    <t xml:space="preserve">Dumbbell Lying Rear Lateral Raise</t>
  </si>
  <si>
    <t xml:space="preserve">Dumbbell Lying Supination</t>
  </si>
  <si>
    <t xml:space="preserve">Dumbbell One-Arm Shoulder Press</t>
  </si>
  <si>
    <t xml:space="preserve">Dumbbell One-Arm Triceps Extension</t>
  </si>
  <si>
    <t xml:space="preserve">Dumbbell One-Arm Upright Row</t>
  </si>
  <si>
    <t xml:space="preserve">[Biceps, Traps]</t>
  </si>
  <si>
    <t xml:space="preserve">Dumbbell Prone Incline Curl</t>
  </si>
  <si>
    <t xml:space="preserve">Dumbbell Raise</t>
  </si>
  <si>
    <t xml:space="preserve">Dumbbell Rear Lunge</t>
  </si>
  <si>
    <t xml:space="preserve">Dumbbell Scaption</t>
  </si>
  <si>
    <t xml:space="preserve">Dumbbell Seated Box Jump</t>
  </si>
  <si>
    <t xml:space="preserve">Dumbbell Seated One-Leg Calf Raise</t>
  </si>
  <si>
    <t xml:space="preserve">Dumbbell Shoulder Press</t>
  </si>
  <si>
    <t xml:space="preserve">Dumbbell Side Bend</t>
  </si>
  <si>
    <t xml:space="preserve">Dumbbell Squat</t>
  </si>
  <si>
    <t xml:space="preserve">Dumbbell Squat To A Bench</t>
  </si>
  <si>
    <t xml:space="preserve">Dumbbell Step Ups</t>
  </si>
  <si>
    <t xml:space="preserve">Dumbbell Tricep Extension -Pronated Grip</t>
  </si>
  <si>
    <t xml:space="preserve">Dynamic Back Stretch</t>
  </si>
  <si>
    <t xml:space="preserve">Dynamic Chest Stretch</t>
  </si>
  <si>
    <t xml:space="preserve">EZ-Bar Curl</t>
  </si>
  <si>
    <t xml:space="preserve">EZ-Bar Skullcrusher</t>
  </si>
  <si>
    <t xml:space="preserve">Elbow Circles</t>
  </si>
  <si>
    <t xml:space="preserve">Elbow to Knee</t>
  </si>
  <si>
    <t xml:space="preserve">Elbows Back</t>
  </si>
  <si>
    <t xml:space="preserve">Elevated Back Lunge</t>
  </si>
  <si>
    <t xml:space="preserve">Elevated Cable Rows</t>
  </si>
  <si>
    <t xml:space="preserve">Elliptical Trainer</t>
  </si>
  <si>
    <t xml:space="preserve">Exercise Ball Crunch</t>
  </si>
  <si>
    <t xml:space="preserve">Exercise Ball Pull-In</t>
  </si>
  <si>
    <t xml:space="preserve">Extended Range One-Arm Kettlebell Floor Press</t>
  </si>
  <si>
    <t xml:space="preserve">External Rotation</t>
  </si>
  <si>
    <t xml:space="preserve">External Rotation with Band</t>
  </si>
  <si>
    <t xml:space="preserve">External Rotation with Cable</t>
  </si>
  <si>
    <t xml:space="preserve">Face Pull</t>
  </si>
  <si>
    <t xml:space="preserve">Farmer's Walk</t>
  </si>
  <si>
    <t xml:space="preserve">[Abdominals, Glutes, Hamstrings, Lower Back, Quadriceps, Traps]</t>
  </si>
  <si>
    <t xml:space="preserve">Fast Skipping</t>
  </si>
  <si>
    <t xml:space="preserve">Finger Curls</t>
  </si>
  <si>
    <t xml:space="preserve">Flat Bench Cable Flyes</t>
  </si>
  <si>
    <t xml:space="preserve">Flat Bench Leg Pull-In</t>
  </si>
  <si>
    <t xml:space="preserve">Flat Bench Lying Leg Raise</t>
  </si>
  <si>
    <t xml:space="preserve">Flexor Incline Dumbbell Curls</t>
  </si>
  <si>
    <t xml:space="preserve">Floor Glute-Ham Raise</t>
  </si>
  <si>
    <t xml:space="preserve">Floor Press</t>
  </si>
  <si>
    <t xml:space="preserve">Floor Press with Chains</t>
  </si>
  <si>
    <t xml:space="preserve">Flutter Kicks</t>
  </si>
  <si>
    <t xml:space="preserve">Foot-SMR</t>
  </si>
  <si>
    <t xml:space="preserve">Forward Drag with Press</t>
  </si>
  <si>
    <t xml:space="preserve">[Calves, Glutes, Hamstrings, Quadriceps, Shoulders, Triceps]</t>
  </si>
  <si>
    <t xml:space="preserve">Frankenstein Squat</t>
  </si>
  <si>
    <t xml:space="preserve">[Abdominals, Calves, Glutes, Hamstrings]</t>
  </si>
  <si>
    <t xml:space="preserve">Freehand Jump Squat</t>
  </si>
  <si>
    <t xml:space="preserve">Frog Hops</t>
  </si>
  <si>
    <t xml:space="preserve">Frog Sit-Ups</t>
  </si>
  <si>
    <t xml:space="preserve">Front Barbell Squat</t>
  </si>
  <si>
    <t xml:space="preserve">Front Barbell Squat To A Bench</t>
  </si>
  <si>
    <t xml:space="preserve">Front Box Jump</t>
  </si>
  <si>
    <t xml:space="preserve">Front Cable Raise</t>
  </si>
  <si>
    <t xml:space="preserve">Front Cone Hops (or hurdle hops)</t>
  </si>
  <si>
    <t xml:space="preserve">Front Dumbbell Raise</t>
  </si>
  <si>
    <t xml:space="preserve">Front Incline Dumbbell Raise</t>
  </si>
  <si>
    <t xml:space="preserve">Front Leg Raises</t>
  </si>
  <si>
    <t xml:space="preserve">Front Plate Raise</t>
  </si>
  <si>
    <t xml:space="preserve">Front Raise And Pullover</t>
  </si>
  <si>
    <t xml:space="preserve">Front Squat (Clean Grip)</t>
  </si>
  <si>
    <t xml:space="preserve">[Abdominals, Glutes, Hamstrings]</t>
  </si>
  <si>
    <t xml:space="preserve">Front Squats With Two Kettlebells</t>
  </si>
  <si>
    <t xml:space="preserve">Front Two-Dumbbell Raise</t>
  </si>
  <si>
    <t xml:space="preserve">Full Range-Of-Motion Lat Pulldown</t>
  </si>
  <si>
    <t xml:space="preserve">Gironda Sternum Chins</t>
  </si>
  <si>
    <t xml:space="preserve">Glute Ham Raise</t>
  </si>
  <si>
    <t xml:space="preserve">Goblet Squat</t>
  </si>
  <si>
    <t xml:space="preserve">[Calves, Glutes, Hamstrings, Shoulders]</t>
  </si>
  <si>
    <t xml:space="preserve">Good Morning</t>
  </si>
  <si>
    <t xml:space="preserve">[Abdominals, Glutes, Lower Back]</t>
  </si>
  <si>
    <t xml:space="preserve">Good Morning off Pins</t>
  </si>
  <si>
    <t xml:space="preserve">Gorilla Chin/Crunch</t>
  </si>
  <si>
    <t xml:space="preserve">Groin and Back Stretch</t>
  </si>
  <si>
    <t xml:space="preserve">Groiners</t>
  </si>
  <si>
    <t xml:space="preserve">Hack Squat</t>
  </si>
  <si>
    <t xml:space="preserve">Hammer Curls</t>
  </si>
  <si>
    <t xml:space="preserve">Hammer Grip Incline DB Bench Press</t>
  </si>
  <si>
    <t xml:space="preserve">Hamstring-SMR</t>
  </si>
  <si>
    <t xml:space="preserve">Hamstring Stretch</t>
  </si>
  <si>
    <t xml:space="preserve">Handstand Push-Ups</t>
  </si>
  <si>
    <t xml:space="preserve">Hang Clean</t>
  </si>
  <si>
    <t xml:space="preserve">[Calves, Forearms, Glutes, Hamstrings, Lower Back, Shoulders, Traps]</t>
  </si>
  <si>
    <t xml:space="preserve">Hang Clean - Below the Knees</t>
  </si>
  <si>
    <t xml:space="preserve">Hang Snatch</t>
  </si>
  <si>
    <t xml:space="preserve">[Abdominals, Calves, Forearms, Glutes, Lower Back, Quadriceps, Shoulders, Traps]</t>
  </si>
  <si>
    <t xml:space="preserve">Hang Snatch - Below Knees</t>
  </si>
  <si>
    <t xml:space="preserve">Hanging Bar Good Morning</t>
  </si>
  <si>
    <t xml:space="preserve">Hanging Leg Raise</t>
  </si>
  <si>
    <t xml:space="preserve">Hanging Pike</t>
  </si>
  <si>
    <t xml:space="preserve">Heaving Snatch Balance</t>
  </si>
  <si>
    <t xml:space="preserve">[Abdominals, Forearms, Glutes, Hamstrings, Shoulders, Triceps]</t>
  </si>
  <si>
    <t xml:space="preserve">Heavy Bag Thrust</t>
  </si>
  <si>
    <t xml:space="preserve">High Cable Curls</t>
  </si>
  <si>
    <t xml:space="preserve">Hip Circles (prone)</t>
  </si>
  <si>
    <t xml:space="preserve">[Abductors]</t>
  </si>
  <si>
    <t xml:space="preserve">Hip Extension with Bands</t>
  </si>
  <si>
    <t xml:space="preserve">Hip Flexion with Band</t>
  </si>
  <si>
    <t xml:space="preserve">Hip Lift with Band</t>
  </si>
  <si>
    <t xml:space="preserve">Hug A Ball</t>
  </si>
  <si>
    <t xml:space="preserve">Hug Knees To Chest</t>
  </si>
  <si>
    <t xml:space="preserve">Hurdle Hops</t>
  </si>
  <si>
    <t xml:space="preserve">Hyperextensions With No Hyperextension Bench</t>
  </si>
  <si>
    <t xml:space="preserve">IT Band and Glute Stretch</t>
  </si>
  <si>
    <t xml:space="preserve">Iliotibial Tract-SMR</t>
  </si>
  <si>
    <t xml:space="preserve">Inchworm</t>
  </si>
  <si>
    <t xml:space="preserve">Incline Barbell Triceps Extension</t>
  </si>
  <si>
    <t xml:space="preserve">Incline Bench Pull</t>
  </si>
  <si>
    <t xml:space="preserve">[Lats, Shoulders]</t>
  </si>
  <si>
    <t xml:space="preserve">Incline Cable Chest Press</t>
  </si>
  <si>
    <t xml:space="preserve">Incline Cable Flye</t>
  </si>
  <si>
    <t xml:space="preserve">Incline Dumbbell Bench With Palms Facing In</t>
  </si>
  <si>
    <t xml:space="preserve">Incline Dumbbell Flyes</t>
  </si>
  <si>
    <t xml:space="preserve">Incline Dumbbell Flyes - With A Twist</t>
  </si>
  <si>
    <t xml:space="preserve">Incline Dumbbell Press</t>
  </si>
  <si>
    <t xml:space="preserve">Incline Hammer Curls</t>
  </si>
  <si>
    <t xml:space="preserve">Incline Inner Biceps Curl</t>
  </si>
  <si>
    <t xml:space="preserve">Incline Push-Up</t>
  </si>
  <si>
    <t xml:space="preserve">Incline Push-Up Close-Grip</t>
  </si>
  <si>
    <t xml:space="preserve">Incline Push-Up Depth Jump</t>
  </si>
  <si>
    <t xml:space="preserve">Incline Push-Up Medium</t>
  </si>
  <si>
    <t xml:space="preserve">Incline Push-Up Reverse Grip</t>
  </si>
  <si>
    <t xml:space="preserve">Incline Push-Up Wide</t>
  </si>
  <si>
    <t xml:space="preserve">Intermediate Groin Stretch</t>
  </si>
  <si>
    <t xml:space="preserve">Intermediate Hip Flexor and Quad Stretch</t>
  </si>
  <si>
    <t xml:space="preserve">Internal Rotation with Band</t>
  </si>
  <si>
    <t xml:space="preserve">Inverted Row</t>
  </si>
  <si>
    <t xml:space="preserve">Inverted Row with Straps</t>
  </si>
  <si>
    <t xml:space="preserve">Iron Cross</t>
  </si>
  <si>
    <t xml:space="preserve">[Chest, Glutes, Hamstrings, Lower Back, Quadriceps, Traps]</t>
  </si>
  <si>
    <t xml:space="preserve">Iron Crosses (stretch)</t>
  </si>
  <si>
    <t xml:space="preserve">Isometric Chest Squeezes</t>
  </si>
  <si>
    <t xml:space="preserve">Isometric Neck Exercise - Front And Back</t>
  </si>
  <si>
    <t xml:space="preserve">Isometric Neck Exercise - Sides</t>
  </si>
  <si>
    <t xml:space="preserve">Isometric Wipers</t>
  </si>
  <si>
    <t xml:space="preserve">JM Press</t>
  </si>
  <si>
    <t xml:space="preserve">Jackknife Sit-Up</t>
  </si>
  <si>
    <t xml:space="preserve">Janda Sit-Up</t>
  </si>
  <si>
    <t xml:space="preserve">Jefferson Squats</t>
  </si>
  <si>
    <t xml:space="preserve">[Calves, Glutes, Hamstrings, Lower Back, Traps]</t>
  </si>
  <si>
    <t xml:space="preserve">Jerk Balance</t>
  </si>
  <si>
    <t xml:space="preserve">[Glutes, Hamstrings, Quadriceps, Triceps]</t>
  </si>
  <si>
    <t xml:space="preserve">Jerk Dip Squat</t>
  </si>
  <si>
    <t xml:space="preserve">[Abdominals, Calves]</t>
  </si>
  <si>
    <t xml:space="preserve">Jogging, Treadmill</t>
  </si>
  <si>
    <t xml:space="preserve">Keg Load</t>
  </si>
  <si>
    <t xml:space="preserve">[Abdominals, Biceps, Calves, Forearms, Glutes, Hamstrings, Middle Back, Quadriceps, Shoulders, Traps]</t>
  </si>
  <si>
    <t xml:space="preserve">Kettlebell Arnold Press</t>
  </si>
  <si>
    <t xml:space="preserve">Kettlebell Dead Clean</t>
  </si>
  <si>
    <t xml:space="preserve">[Calves, Glutes, Lower Back, Quadriceps, Traps]</t>
  </si>
  <si>
    <t xml:space="preserve">Kettlebell Figure 8</t>
  </si>
  <si>
    <t xml:space="preserve">[Hamstrings, Shoulders]</t>
  </si>
  <si>
    <t xml:space="preserve">Kettlebell Halo</t>
  </si>
  <si>
    <t xml:space="preserve">[Traps, Middle Back, Abdominals, Triceps]</t>
  </si>
  <si>
    <t xml:space="preserve">Kettlebell Halo with Overhead Extension</t>
  </si>
  <si>
    <t xml:space="preserve">[Traps, Middle Back, Abdominals]</t>
  </si>
  <si>
    <t xml:space="preserve">Kettlebell Hang Clean</t>
  </si>
  <si>
    <t xml:space="preserve">[Calves, Glutes, Lower Back, Shoulders, Traps]</t>
  </si>
  <si>
    <t xml:space="preserve">Kettlebell One-Legged Deadlift</t>
  </si>
  <si>
    <t xml:space="preserve">Kettlebell Overhead Triceps Extension</t>
  </si>
  <si>
    <t xml:space="preserve">[Shoulders, Abdominals]</t>
  </si>
  <si>
    <t xml:space="preserve">Kettlebell Pass Between The Legs</t>
  </si>
  <si>
    <t xml:space="preserve">Kettlebell Pirate Ships</t>
  </si>
  <si>
    <t xml:space="preserve">Kettlebell Pistol Squat</t>
  </si>
  <si>
    <t xml:space="preserve">Kettlebell Seated Press</t>
  </si>
  <si>
    <t xml:space="preserve">Kettlebell Seesaw Press</t>
  </si>
  <si>
    <t xml:space="preserve">Kettlebell Sumo High Pull</t>
  </si>
  <si>
    <t xml:space="preserve">[Adductors, Glutes, Hamstrings, Quadriceps, Shoulders]</t>
  </si>
  <si>
    <t xml:space="preserve">Kettlebell Thruster</t>
  </si>
  <si>
    <t xml:space="preserve">[Quadriceps, Triceps]</t>
  </si>
  <si>
    <t xml:space="preserve">Kettlebell Turkish Get-Up (Lunge style)</t>
  </si>
  <si>
    <t xml:space="preserve">[Abdominals, Hamstrings, Quadriceps, Triceps]</t>
  </si>
  <si>
    <t xml:space="preserve">Kettlebell Turkish Get-Up (Squat style)</t>
  </si>
  <si>
    <t xml:space="preserve">[Abdominals, Calves, Hamstrings, Quadriceps, Triceps]</t>
  </si>
  <si>
    <t xml:space="preserve">Kettlebell Windmill</t>
  </si>
  <si>
    <t xml:space="preserve">Kipping Muscle Up</t>
  </si>
  <si>
    <t xml:space="preserve">[Abdominals, Biceps, Forearms, Middle Back, Shoulders, Traps, Triceps]</t>
  </si>
  <si>
    <t xml:space="preserve">Knee Across The Body</t>
  </si>
  <si>
    <t xml:space="preserve">[Abductors, Lower Back]</t>
  </si>
  <si>
    <t xml:space="preserve">Knee Circles</t>
  </si>
  <si>
    <t xml:space="preserve">Knee/Hip Raise On Parallel Bars</t>
  </si>
  <si>
    <t xml:space="preserve">Knee Tuck Jump</t>
  </si>
  <si>
    <t xml:space="preserve">Kneeling Arm Drill</t>
  </si>
  <si>
    <t xml:space="preserve">Kneeling Cable Crunch With Alternating Oblique Twists</t>
  </si>
  <si>
    <t xml:space="preserve">Kneeling Cable Triceps Extension</t>
  </si>
  <si>
    <t xml:space="preserve">Kneeling Forearm Stretch</t>
  </si>
  <si>
    <t xml:space="preserve">Kneeling High Pulley Row</t>
  </si>
  <si>
    <t xml:space="preserve">Kneeling Hip Flexor</t>
  </si>
  <si>
    <t xml:space="preserve">Kneeling Jump Squat</t>
  </si>
  <si>
    <t xml:space="preserve">[Calves, Hamstrings, Quadriceps]</t>
  </si>
  <si>
    <t xml:space="preserve">Kneeling Single-Arm High Pulley Row</t>
  </si>
  <si>
    <t xml:space="preserve">Kneeling Squat</t>
  </si>
  <si>
    <t xml:space="preserve">[Abdominals, Hamstrings, Lower Back]</t>
  </si>
  <si>
    <t xml:space="preserve">Landmine 180's</t>
  </si>
  <si>
    <t xml:space="preserve">[Glutes, Lower Back, Shoulders]</t>
  </si>
  <si>
    <t xml:space="preserve">Landmine Linear Jammer</t>
  </si>
  <si>
    <t xml:space="preserve">[Abdominals, Calves, Chest, Hamstrings, Quadriceps, Triceps]</t>
  </si>
  <si>
    <t xml:space="preserve">Lateral Bound</t>
  </si>
  <si>
    <t xml:space="preserve">[Abductors, Calves, Glutes, Hamstrings, Quadriceps]</t>
  </si>
  <si>
    <t xml:space="preserve">Lateral Box Jump</t>
  </si>
  <si>
    <t xml:space="preserve">Lateral Cone Hops</t>
  </si>
  <si>
    <t xml:space="preserve">Lateral Raise - With Bands</t>
  </si>
  <si>
    <t xml:space="preserve">Latissimus Dorsi-SMR</t>
  </si>
  <si>
    <t xml:space="preserve">Leg-Over Floor Press</t>
  </si>
  <si>
    <t xml:space="preserve">Leg-Up Hamstring Stretch</t>
  </si>
  <si>
    <t xml:space="preserve">Leg Lift</t>
  </si>
  <si>
    <t xml:space="preserve">Leg Pull-In</t>
  </si>
  <si>
    <t xml:space="preserve">Leverage Deadlift</t>
  </si>
  <si>
    <t xml:space="preserve">Leverage Decline Chest Press</t>
  </si>
  <si>
    <t xml:space="preserve">Leverage High Row</t>
  </si>
  <si>
    <t xml:space="preserve">Leverage Iso Row</t>
  </si>
  <si>
    <t xml:space="preserve">Leverage Shrug</t>
  </si>
  <si>
    <t xml:space="preserve">Linear 3-Part Start Technique</t>
  </si>
  <si>
    <t xml:space="preserve">[Calves, Quadriceps]</t>
  </si>
  <si>
    <t xml:space="preserve">Linear Acceleration Wall Drill</t>
  </si>
  <si>
    <t xml:space="preserve">[Calves, Glutes, Quadriceps]</t>
  </si>
  <si>
    <t xml:space="preserve">Linear Depth Jump</t>
  </si>
  <si>
    <t xml:space="preserve">Log Lift</t>
  </si>
  <si>
    <t xml:space="preserve">[Abdominals, Chest, Glutes, Hamstrings, Lower Back, Middle Back, Quadriceps, Traps, Triceps]</t>
  </si>
  <si>
    <t xml:space="preserve">London Bridges</t>
  </si>
  <si>
    <t xml:space="preserve">Looking At Ceiling</t>
  </si>
  <si>
    <t xml:space="preserve">Low Cable Crossover</t>
  </si>
  <si>
    <t xml:space="preserve">Low Cable Triceps Extension</t>
  </si>
  <si>
    <t xml:space="preserve">Low Pulley Row To Neck</t>
  </si>
  <si>
    <t xml:space="preserve">[Biceps, Middle Back, Traps]</t>
  </si>
  <si>
    <t xml:space="preserve">Lower Back-SMR</t>
  </si>
  <si>
    <t xml:space="preserve">Lower Back Curl</t>
  </si>
  <si>
    <t xml:space="preserve">Lunge Pass Through</t>
  </si>
  <si>
    <t xml:space="preserve">Lunge Sprint</t>
  </si>
  <si>
    <t xml:space="preserve">Lying Bent Leg Groin</t>
  </si>
  <si>
    <t xml:space="preserve">Lying Cable Curl</t>
  </si>
  <si>
    <t xml:space="preserve">Lying Cambered Barbell Row</t>
  </si>
  <si>
    <t xml:space="preserve">[Biceps, Lats, Traps]</t>
  </si>
  <si>
    <t xml:space="preserve">Lying Close-Grip Bar Curl On High Pulley</t>
  </si>
  <si>
    <t xml:space="preserve">Lying Close-Grip Barbell Triceps Extension Behind The Head</t>
  </si>
  <si>
    <t xml:space="preserve">Lying Close-Grip Barbell Triceps Press To Chin</t>
  </si>
  <si>
    <t xml:space="preserve">Lying Crossover</t>
  </si>
  <si>
    <t xml:space="preserve">Lying Dumbbell Tricep Extension</t>
  </si>
  <si>
    <t xml:space="preserve">Lying Face Down Plate Neck Resistance</t>
  </si>
  <si>
    <t xml:space="preserve">Lying Face Up Plate Neck Resistance</t>
  </si>
  <si>
    <t xml:space="preserve">Lying Glute</t>
  </si>
  <si>
    <t xml:space="preserve">Lying Hamstring</t>
  </si>
  <si>
    <t xml:space="preserve">Lying High Bench Barbell Curl</t>
  </si>
  <si>
    <t xml:space="preserve">Lying Machine Squat</t>
  </si>
  <si>
    <t xml:space="preserve">Lying One-Arm Lateral Raise</t>
  </si>
  <si>
    <t xml:space="preserve">Lying Prone Quadriceps</t>
  </si>
  <si>
    <t xml:space="preserve">Lying Rear Delt Raise</t>
  </si>
  <si>
    <t xml:space="preserve">Lying Supine Dumbbell Curl</t>
  </si>
  <si>
    <t xml:space="preserve">Lying T-Bar Row</t>
  </si>
  <si>
    <t xml:space="preserve">Lying Triceps Press</t>
  </si>
  <si>
    <t xml:space="preserve">Machine Bench Press</t>
  </si>
  <si>
    <t xml:space="preserve">Machine Bicep Curl</t>
  </si>
  <si>
    <t xml:space="preserve">Machine Shoulder (Military) Press</t>
  </si>
  <si>
    <t xml:space="preserve">Medicine Ball Chest Pass</t>
  </si>
  <si>
    <t xml:space="preserve">Medicine Ball Full Twist</t>
  </si>
  <si>
    <t xml:space="preserve">Medicine Ball Scoop Throw</t>
  </si>
  <si>
    <t xml:space="preserve">[Abdominals, Hamstrings, Quadriceps]</t>
  </si>
  <si>
    <t xml:space="preserve">Middle Back Shrug</t>
  </si>
  <si>
    <t xml:space="preserve">Middle Back Stretch</t>
  </si>
  <si>
    <t xml:space="preserve">[Abdominals, Lats, Lower Back]</t>
  </si>
  <si>
    <t xml:space="preserve">Mixed Grip Chin</t>
  </si>
  <si>
    <t xml:space="preserve">Monster Walk</t>
  </si>
  <si>
    <t xml:space="preserve">Mountain Climbers</t>
  </si>
  <si>
    <t xml:space="preserve">[Chest, Hamstrings, Shoulders]</t>
  </si>
  <si>
    <t xml:space="preserve">Moving Claw Series</t>
  </si>
  <si>
    <t xml:space="preserve">Muscle Snatch</t>
  </si>
  <si>
    <t xml:space="preserve">[Glutes, Lower Back, Quadriceps, Shoulders, Triceps]</t>
  </si>
  <si>
    <t xml:space="preserve">Muscle Up</t>
  </si>
  <si>
    <t xml:space="preserve">Narrow Stance Hack Squats</t>
  </si>
  <si>
    <t xml:space="preserve">Narrow Stance Leg Press</t>
  </si>
  <si>
    <t xml:space="preserve">Narrow Stance Squats</t>
  </si>
  <si>
    <t xml:space="preserve">Natural Glute Ham Raise</t>
  </si>
  <si>
    <t xml:space="preserve">[Calves, Glutes, Lower Back]</t>
  </si>
  <si>
    <t xml:space="preserve">Neck-SMR</t>
  </si>
  <si>
    <t xml:space="preserve">Neck Press</t>
  </si>
  <si>
    <t xml:space="preserve">Oblique Crunches</t>
  </si>
  <si>
    <t xml:space="preserve">Oblique Crunches - On The Floor</t>
  </si>
  <si>
    <t xml:space="preserve">Olympic Squat</t>
  </si>
  <si>
    <t xml:space="preserve">On-Your-Back Quad Stretch</t>
  </si>
  <si>
    <t xml:space="preserve">On Your Side Quad Stretch</t>
  </si>
  <si>
    <t xml:space="preserve">One-Arm Dumbbell Row</t>
  </si>
  <si>
    <t xml:space="preserve">One-Arm Flat Bench Dumbbell Flye</t>
  </si>
  <si>
    <t xml:space="preserve">One-Arm High-Pulley Cable Side Bends</t>
  </si>
  <si>
    <t xml:space="preserve">One-Arm Incline Lateral Raise</t>
  </si>
  <si>
    <t xml:space="preserve">One-Arm Kettlebell Clean</t>
  </si>
  <si>
    <t xml:space="preserve">[Glutes, Lower Back, Shoulders, Traps]</t>
  </si>
  <si>
    <t xml:space="preserve">One-Arm Kettlebell Clean and Jerk</t>
  </si>
  <si>
    <t xml:space="preserve">One-Arm Kettlebell Floor Press</t>
  </si>
  <si>
    <t xml:space="preserve">One-Arm Kettlebell Jerk</t>
  </si>
  <si>
    <t xml:space="preserve">One-Arm Kettlebell Military Press To The Side</t>
  </si>
  <si>
    <t xml:space="preserve">One-Arm Kettlebell Para Press</t>
  </si>
  <si>
    <t xml:space="preserve">One-Arm Kettlebell Push Press</t>
  </si>
  <si>
    <t xml:space="preserve">One-Arm Kettlebell Row</t>
  </si>
  <si>
    <t xml:space="preserve">One-Arm Kettlebell Snatch</t>
  </si>
  <si>
    <t xml:space="preserve">[Calves, Glutes, Hamstrings, Lower Back, Traps, Triceps]</t>
  </si>
  <si>
    <t xml:space="preserve">One-Arm Kettlebell Split Jerk</t>
  </si>
  <si>
    <t xml:space="preserve">One-Arm Kettlebell Split Snatch</t>
  </si>
  <si>
    <t xml:space="preserve">One-Arm Kettlebell Swings</t>
  </si>
  <si>
    <t xml:space="preserve">[Calves, Glutes, Lower Back, Shoulders]</t>
  </si>
  <si>
    <t xml:space="preserve">One-Arm Long Bar Row</t>
  </si>
  <si>
    <t xml:space="preserve">One-Arm Medicine Ball Slam</t>
  </si>
  <si>
    <t xml:space="preserve">One-Arm Open Palm Kettlebell Clean</t>
  </si>
  <si>
    <t xml:space="preserve">[Forearms, Glutes, Lower Back, Quadriceps, Shoulders]</t>
  </si>
  <si>
    <t xml:space="preserve">One-Arm Overhead Kettlebell Squats</t>
  </si>
  <si>
    <t xml:space="preserve">One-Arm Side Deadlift</t>
  </si>
  <si>
    <t xml:space="preserve">[Abdominals, Calves, Glutes, Hamstrings, Lower Back, Traps]</t>
  </si>
  <si>
    <t xml:space="preserve">One-Arm Side Laterals</t>
  </si>
  <si>
    <t xml:space="preserve">One-Legged Cable Kickback</t>
  </si>
  <si>
    <t xml:space="preserve">One Arm Against Wall</t>
  </si>
  <si>
    <t xml:space="preserve">One Arm Chin-Up</t>
  </si>
  <si>
    <t xml:space="preserve">[Biceps, Forearms, Lats]</t>
  </si>
  <si>
    <t xml:space="preserve">One Arm Dumbbell Bench Press</t>
  </si>
  <si>
    <t xml:space="preserve">One Arm Dumbbell Preacher Curl</t>
  </si>
  <si>
    <t xml:space="preserve">One Arm Floor Press</t>
  </si>
  <si>
    <t xml:space="preserve">One Arm Lat Pulldown</t>
  </si>
  <si>
    <t xml:space="preserve">One Arm Pronated Dumbbell Triceps Extension</t>
  </si>
  <si>
    <t xml:space="preserve">One Arm Supinated Dumbbell Triceps Extension</t>
  </si>
  <si>
    <t xml:space="preserve">One Half Locust</t>
  </si>
  <si>
    <t xml:space="preserve">[Abdominals, Biceps, Chest]</t>
  </si>
  <si>
    <t xml:space="preserve">One Handed Hang</t>
  </si>
  <si>
    <t xml:space="preserve">One Knee To Chest</t>
  </si>
  <si>
    <t xml:space="preserve">[Hamstrings, Lower Back]</t>
  </si>
  <si>
    <t xml:space="preserve">One Leg Barbell Squat</t>
  </si>
  <si>
    <t xml:space="preserve">Open Palm Kettlebell Clean</t>
  </si>
  <si>
    <t xml:space="preserve">[Glutes, Lower Back, Quadriceps, Shoulders]</t>
  </si>
  <si>
    <t xml:space="preserve">Otis-Up</t>
  </si>
  <si>
    <t xml:space="preserve">[Chest, Shoulders, Triceps]</t>
  </si>
  <si>
    <t xml:space="preserve">Overhead Cable Curl</t>
  </si>
  <si>
    <t xml:space="preserve">Overhead Lat</t>
  </si>
  <si>
    <t xml:space="preserve">Overhead Slam</t>
  </si>
  <si>
    <t xml:space="preserve">Overhead Squat</t>
  </si>
  <si>
    <t xml:space="preserve">[Abdominals, Calves, Glutes, Hamstrings, Lower Back, Shoulders, Triceps]</t>
  </si>
  <si>
    <t xml:space="preserve">Overhead Stretch</t>
  </si>
  <si>
    <t xml:space="preserve">[Chest, Forearms, Lats, Triceps]</t>
  </si>
  <si>
    <t xml:space="preserve">Overhead Triceps</t>
  </si>
  <si>
    <t xml:space="preserve">Pallof Press</t>
  </si>
  <si>
    <t xml:space="preserve">Pallof Press With Rotation</t>
  </si>
  <si>
    <t xml:space="preserve">Palms-Down Dumbbell Wrist Curl Over A Bench</t>
  </si>
  <si>
    <t xml:space="preserve">Palms-Down Wrist Curl Over A Bench</t>
  </si>
  <si>
    <t xml:space="preserve">Palms-Up Barbell Wrist Curl Over A Bench</t>
  </si>
  <si>
    <t xml:space="preserve">Palms-Up Dumbbell Wrist Curl Over A Bench</t>
  </si>
  <si>
    <t xml:space="preserve">Parallel Bar Dip</t>
  </si>
  <si>
    <t xml:space="preserve">Pelvic Tilt Into Bridge</t>
  </si>
  <si>
    <t xml:space="preserve">Peroneals-SMR</t>
  </si>
  <si>
    <t xml:space="preserve">Peroneals Stretch</t>
  </si>
  <si>
    <t xml:space="preserve">Physioball Hip Bridge</t>
  </si>
  <si>
    <t xml:space="preserve">Pin Presses</t>
  </si>
  <si>
    <t xml:space="preserve">[Chest, Forearms, Lats, Middle Back, Shoulders]</t>
  </si>
  <si>
    <t xml:space="preserve">Piriformis-SMR</t>
  </si>
  <si>
    <t xml:space="preserve">Plank</t>
  </si>
  <si>
    <t xml:space="preserve">Plate Pinch</t>
  </si>
  <si>
    <t xml:space="preserve">Plate Twist</t>
  </si>
  <si>
    <t xml:space="preserve">Platform Hamstring Slides</t>
  </si>
  <si>
    <t xml:space="preserve">Plie Dumbbell Squat</t>
  </si>
  <si>
    <t xml:space="preserve">Plyo Kettlebell Pushups</t>
  </si>
  <si>
    <t xml:space="preserve">Plyo Push-up</t>
  </si>
  <si>
    <t xml:space="preserve">Posterior Tibialis Stretch</t>
  </si>
  <si>
    <t xml:space="preserve">Power Clean</t>
  </si>
  <si>
    <t xml:space="preserve">[Calves, Forearms, Glutes, Lower Back, Middle Back, Quadriceps, Shoulders, Traps, Triceps]</t>
  </si>
  <si>
    <t xml:space="preserve">Power Clean from Blocks</t>
  </si>
  <si>
    <t xml:space="preserve">Power Jerk</t>
  </si>
  <si>
    <t xml:space="preserve">[Abdominals, Calves, Glutes, Hamstrings, Shoulders, Triceps]</t>
  </si>
  <si>
    <t xml:space="preserve">Power Partials</t>
  </si>
  <si>
    <t xml:space="preserve">Power Snatch</t>
  </si>
  <si>
    <t xml:space="preserve">[Calves, Glutes, Lower Back, Quadriceps, Shoulders, Traps, Triceps]</t>
  </si>
  <si>
    <t xml:space="preserve">Power Snatch from Blocks</t>
  </si>
  <si>
    <t xml:space="preserve">[Calves, Forearms, Glutes, Hamstrings, Lower Back, Shoulders, Traps, Triceps]</t>
  </si>
  <si>
    <t xml:space="preserve">Power Stairs</t>
  </si>
  <si>
    <t xml:space="preserve">[Adductors, Calves, Glutes, Lower Back, Quadriceps, Shoulders, Traps]</t>
  </si>
  <si>
    <t xml:space="preserve">Preacher Curl</t>
  </si>
  <si>
    <t xml:space="preserve">Preacher Hammer Dumbbell Curl</t>
  </si>
  <si>
    <t xml:space="preserve">Press Sit-Up</t>
  </si>
  <si>
    <t xml:space="preserve">Prone Manual Hamstring</t>
  </si>
  <si>
    <t xml:space="preserve">Prowler Sprint</t>
  </si>
  <si>
    <t xml:space="preserve">[Calves, Chest, Glutes, Quadriceps, Shoulders]</t>
  </si>
  <si>
    <t xml:space="preserve">Pullups</t>
  </si>
  <si>
    <t xml:space="preserve">Push-Up Wide</t>
  </si>
  <si>
    <t xml:space="preserve">Push-Ups - Close Triceps Position</t>
  </si>
  <si>
    <t xml:space="preserve">Push-Ups With Feet Elevated</t>
  </si>
  <si>
    <t xml:space="preserve">Push-Ups With Feet On An Exercise Ball</t>
  </si>
  <si>
    <t xml:space="preserve">Push Press</t>
  </si>
  <si>
    <t xml:space="preserve">Push Press - Behind the Neck</t>
  </si>
  <si>
    <t xml:space="preserve">Push Up to Side Plank</t>
  </si>
  <si>
    <t xml:space="preserve">Pushups</t>
  </si>
  <si>
    <t xml:space="preserve">Pushups (Close and Wide Hand Positions)</t>
  </si>
  <si>
    <t xml:space="preserve">Pyramid</t>
  </si>
  <si>
    <t xml:space="preserve">Quad Stretch</t>
  </si>
  <si>
    <t xml:space="preserve">Quadriceps-SMR</t>
  </si>
  <si>
    <t xml:space="preserve">Quick Leap</t>
  </si>
  <si>
    <t xml:space="preserve">Rack Delivery</t>
  </si>
  <si>
    <t xml:space="preserve">[Forearms, Traps]</t>
  </si>
  <si>
    <t xml:space="preserve">Rack Pull with Bands</t>
  </si>
  <si>
    <t xml:space="preserve">[Forearms, Glutes, Hamstrings, Quadriceps, Traps]</t>
  </si>
  <si>
    <t xml:space="preserve">Rack Pulls</t>
  </si>
  <si>
    <t xml:space="preserve">[Forearms, Glutes, Hamstrings, Traps]</t>
  </si>
  <si>
    <t xml:space="preserve">Rear Leg Raises</t>
  </si>
  <si>
    <t xml:space="preserve">Recumbent Bike</t>
  </si>
  <si>
    <t xml:space="preserve">Return Push from Stance</t>
  </si>
  <si>
    <t xml:space="preserve">Reverse Band Bench Press</t>
  </si>
  <si>
    <t xml:space="preserve">Reverse Band Box Squat</t>
  </si>
  <si>
    <t xml:space="preserve">[Abductors, Adductors, Calves, Forearms, Glutes, Hamstrings, Lower Back]</t>
  </si>
  <si>
    <t xml:space="preserve">Reverse Band Deadlift</t>
  </si>
  <si>
    <t xml:space="preserve">[Abductors, Adductors, Calves, Glutes, Hamstrings, Quadriceps]</t>
  </si>
  <si>
    <t xml:space="preserve">Reverse Band Power Squat</t>
  </si>
  <si>
    <t xml:space="preserve">Reverse Band Sumo Deadlift</t>
  </si>
  <si>
    <t xml:space="preserve">[Abductors, Adductors, Calves, Forearms, Glutes, Lower Back, Quadriceps, Traps]</t>
  </si>
  <si>
    <t xml:space="preserve">Reverse Barbell Curl</t>
  </si>
  <si>
    <t xml:space="preserve">Reverse Barbell Preacher Curls</t>
  </si>
  <si>
    <t xml:space="preserve">Reverse Crunch</t>
  </si>
  <si>
    <t xml:space="preserve">Reverse Flyes</t>
  </si>
  <si>
    <t xml:space="preserve">Reverse Flyes With External Rotation</t>
  </si>
  <si>
    <t xml:space="preserve">Reverse Grip Bent-Over Rows</t>
  </si>
  <si>
    <t xml:space="preserve">Reverse Grip Triceps Pushdown</t>
  </si>
  <si>
    <t xml:space="preserve">Reverse Hyperextension</t>
  </si>
  <si>
    <t xml:space="preserve">Reverse Machine Flyes</t>
  </si>
  <si>
    <t xml:space="preserve">Reverse Plate Curls</t>
  </si>
  <si>
    <t xml:space="preserve">Reverse Triceps Bench Press</t>
  </si>
  <si>
    <t xml:space="preserve">Rhomboids-SMR</t>
  </si>
  <si>
    <t xml:space="preserve">Rickshaw Carry</t>
  </si>
  <si>
    <t xml:space="preserve">[Abdominals, Calves, Glutes, Hamstrings, Lower Back, Quadriceps, Traps]</t>
  </si>
  <si>
    <t xml:space="preserve">Rickshaw Deadlift</t>
  </si>
  <si>
    <t xml:space="preserve">Ring Dips</t>
  </si>
  <si>
    <t xml:space="preserve">Rocket Jump</t>
  </si>
  <si>
    <t xml:space="preserve">Rocking Standing Calf Raise</t>
  </si>
  <si>
    <t xml:space="preserve">Rocky Pull-Ups/Pulldowns</t>
  </si>
  <si>
    <t xml:space="preserve">Romanian Deadlift</t>
  </si>
  <si>
    <t xml:space="preserve">Romanian Deadlift from Deficit</t>
  </si>
  <si>
    <t xml:space="preserve">[Forearms, Glutes, Lower Back, Traps]</t>
  </si>
  <si>
    <t xml:space="preserve">Rope Climb</t>
  </si>
  <si>
    <t xml:space="preserve">[Biceps, Forearms, Middle Back, Shoulders]</t>
  </si>
  <si>
    <t xml:space="preserve">Rope Crunch</t>
  </si>
  <si>
    <t xml:space="preserve">Rope Jumping</t>
  </si>
  <si>
    <t xml:space="preserve">Rope Straight-Arm Pulldown</t>
  </si>
  <si>
    <t xml:space="preserve">Round The World Shoulder Stretch</t>
  </si>
  <si>
    <t xml:space="preserve">Rowing, Stationary</t>
  </si>
  <si>
    <t xml:space="preserve">[Biceps, Calves, Glutes, Hamstrings, Lower Back, Middle Back]</t>
  </si>
  <si>
    <t xml:space="preserve">Runner's Stretch</t>
  </si>
  <si>
    <t xml:space="preserve">Running, Treadmill</t>
  </si>
  <si>
    <t xml:space="preserve">Russian Twist</t>
  </si>
  <si>
    <t xml:space="preserve">Sandbag Load</t>
  </si>
  <si>
    <t xml:space="preserve">[Abdominals, Biceps, Calves, Forearms, Glutes, Hamstrings, Lower Back, Middle Back, Shoulders, Traps]</t>
  </si>
  <si>
    <t xml:space="preserve">Scapular Pull-Up</t>
  </si>
  <si>
    <t xml:space="preserve">[Lats, Middle Back]</t>
  </si>
  <si>
    <t xml:space="preserve">Scissor Kick</t>
  </si>
  <si>
    <t xml:space="preserve">Scissors Jump</t>
  </si>
  <si>
    <t xml:space="preserve">Seated Band Hamstring Curl</t>
  </si>
  <si>
    <t xml:space="preserve">Seated Barbell Military Press</t>
  </si>
  <si>
    <t xml:space="preserve">Seated Barbell Twist</t>
  </si>
  <si>
    <t xml:space="preserve">Seated Bent-Over One-Arm Dumbbell Triceps Extension</t>
  </si>
  <si>
    <t xml:space="preserve">Seated Bent-Over Rear Delt Raise</t>
  </si>
  <si>
    <t xml:space="preserve">Seated Bent-Over Two-Arm Dumbbell Triceps Extension</t>
  </si>
  <si>
    <t xml:space="preserve">Seated Biceps</t>
  </si>
  <si>
    <t xml:space="preserve">Seated Cable Shoulder Press</t>
  </si>
  <si>
    <t xml:space="preserve">Seated Calf Raise</t>
  </si>
  <si>
    <t xml:space="preserve">Seated Calf Stretch</t>
  </si>
  <si>
    <t xml:space="preserve">Seated Close-Grip Concentration Barbell Curl</t>
  </si>
  <si>
    <t xml:space="preserve">Seated Dumbbell Curl</t>
  </si>
  <si>
    <t xml:space="preserve">Seated Dumbbell Inner Biceps Curl</t>
  </si>
  <si>
    <t xml:space="preserve">Seated Dumbbell Palms-Down Wrist Curl</t>
  </si>
  <si>
    <t xml:space="preserve">Seated Dumbbell Palms-Up Wrist Curl</t>
  </si>
  <si>
    <t xml:space="preserve">Seated Dumbbell Press</t>
  </si>
  <si>
    <t xml:space="preserve">Seated Flat Bench Leg Pull-In</t>
  </si>
  <si>
    <t xml:space="preserve">Seated Floor Hamstring Stretch</t>
  </si>
  <si>
    <t xml:space="preserve">Seated Front Deltoid</t>
  </si>
  <si>
    <t xml:space="preserve">Seated Glute</t>
  </si>
  <si>
    <t xml:space="preserve">Seated Good Mornings</t>
  </si>
  <si>
    <t xml:space="preserve">Seated Hamstring</t>
  </si>
  <si>
    <t xml:space="preserve">Seated Hamstring and Calf Stretch</t>
  </si>
  <si>
    <t xml:space="preserve">Seated Head Harness Neck Resistance</t>
  </si>
  <si>
    <t xml:space="preserve">Seated Leg Tucks</t>
  </si>
  <si>
    <t xml:space="preserve">Seated One-Arm Dumbbell Palms-Down Wrist Curl</t>
  </si>
  <si>
    <t xml:space="preserve">Seated One-Arm Dumbbell Palms-Up Wrist Curl</t>
  </si>
  <si>
    <t xml:space="preserve">Seated One-arm Cable Pulley Rows</t>
  </si>
  <si>
    <t xml:space="preserve">Seated Overhead Stretch</t>
  </si>
  <si>
    <t xml:space="preserve">Seated Palm-Up Barbell Wrist Curl</t>
  </si>
  <si>
    <t xml:space="preserve">Seated Palms-Down Barbell Wrist Curl</t>
  </si>
  <si>
    <t xml:space="preserve">Seated Side Lateral Raise</t>
  </si>
  <si>
    <t xml:space="preserve">Seated Triceps Press</t>
  </si>
  <si>
    <t xml:space="preserve">Seated Two-Arm Palms-Up Low-Pulley Wrist Curl</t>
  </si>
  <si>
    <t xml:space="preserve">See-Saw Press (Alternating Side Press)</t>
  </si>
  <si>
    <t xml:space="preserve">[Abdominals, Triceps]</t>
  </si>
  <si>
    <t xml:space="preserve">Shotgun Row</t>
  </si>
  <si>
    <t xml:space="preserve">Shoulder Circles</t>
  </si>
  <si>
    <t xml:space="preserve">Shoulder Press - With Bands</t>
  </si>
  <si>
    <t xml:space="preserve">Shoulder Raise</t>
  </si>
  <si>
    <t xml:space="preserve">Shoulder Stretch</t>
  </si>
  <si>
    <t xml:space="preserve">Side-Lying Floor Stretch</t>
  </si>
  <si>
    <t xml:space="preserve">Side Bridge</t>
  </si>
  <si>
    <t xml:space="preserve">Side Hop-Sprint</t>
  </si>
  <si>
    <t xml:space="preserve">[Abductors, Adductors, Calves, Hamstrings]</t>
  </si>
  <si>
    <t xml:space="preserve">Side Jackknife</t>
  </si>
  <si>
    <t xml:space="preserve">Side Lateral Raise</t>
  </si>
  <si>
    <t xml:space="preserve">Side Laterals to Front Raise</t>
  </si>
  <si>
    <t xml:space="preserve">Side Leg Raises</t>
  </si>
  <si>
    <t xml:space="preserve">Side Lying Groin Stretch</t>
  </si>
  <si>
    <t xml:space="preserve">Side Neck Stretch</t>
  </si>
  <si>
    <t xml:space="preserve">Side Standing Long Jump</t>
  </si>
  <si>
    <t xml:space="preserve">Side To Side Chins</t>
  </si>
  <si>
    <t xml:space="preserve">Side Wrist Pull</t>
  </si>
  <si>
    <t xml:space="preserve">[Forearms, Lats]</t>
  </si>
  <si>
    <t xml:space="preserve">Side to Side Box Shuffle</t>
  </si>
  <si>
    <t xml:space="preserve">Single-Arm Cable Crossover</t>
  </si>
  <si>
    <t xml:space="preserve">Single-Arm Linear Jammer</t>
  </si>
  <si>
    <t xml:space="preserve">Single-Arm Push-Up</t>
  </si>
  <si>
    <t xml:space="preserve">Single-Cone Sprint Drill</t>
  </si>
  <si>
    <t xml:space="preserve">Single-Leg High Box Squat</t>
  </si>
  <si>
    <t xml:space="preserve">Single-Leg Hop Progression</t>
  </si>
  <si>
    <t xml:space="preserve">Single-Leg Lateral Hop</t>
  </si>
  <si>
    <t xml:space="preserve">Single-Leg Leg Extension</t>
  </si>
  <si>
    <t xml:space="preserve">Single-Leg Stride Jump</t>
  </si>
  <si>
    <t xml:space="preserve">Single Dumbbell Raise</t>
  </si>
  <si>
    <t xml:space="preserve">Single Leg Butt Kick</t>
  </si>
  <si>
    <t xml:space="preserve">Single Leg Glute Bridge</t>
  </si>
  <si>
    <t xml:space="preserve">Single Leg Push-off</t>
  </si>
  <si>
    <t xml:space="preserve">Sit-Up</t>
  </si>
  <si>
    <t xml:space="preserve">Sit Squats</t>
  </si>
  <si>
    <t xml:space="preserve">[Abductors, Glutes, Hamstrings]</t>
  </si>
  <si>
    <t xml:space="preserve">Skating</t>
  </si>
  <si>
    <t xml:space="preserve">Sled Drag - Harness</t>
  </si>
  <si>
    <t xml:space="preserve">Sled Overhead Backward Walk</t>
  </si>
  <si>
    <t xml:space="preserve">[Calves, Middle Back, Quadriceps]</t>
  </si>
  <si>
    <t xml:space="preserve">Sled Overhead Triceps Extension</t>
  </si>
  <si>
    <t xml:space="preserve">Sled Push</t>
  </si>
  <si>
    <t xml:space="preserve">[Calves, Chest, Glutes, Hamstrings, Triceps]</t>
  </si>
  <si>
    <t xml:space="preserve">Sled Reverse Flye</t>
  </si>
  <si>
    <t xml:space="preserve">Sled Row</t>
  </si>
  <si>
    <t xml:space="preserve">Sledgehammer Swings</t>
  </si>
  <si>
    <t xml:space="preserve">[Calves, Forearms, Lats, Middle Back, Shoulders]</t>
  </si>
  <si>
    <t xml:space="preserve">Smith Incline Shoulder Raise</t>
  </si>
  <si>
    <t xml:space="preserve">Smith Machine Behind the Back Shrug</t>
  </si>
  <si>
    <t xml:space="preserve">Smith Machine Bent Over Row</t>
  </si>
  <si>
    <t xml:space="preserve">Smith Machine Calf Raise</t>
  </si>
  <si>
    <t xml:space="preserve">Smith Machine Close-Grip Bench Press</t>
  </si>
  <si>
    <t xml:space="preserve">Smith Machine Decline Press</t>
  </si>
  <si>
    <t xml:space="preserve">Smith Machine Hang Power Clean</t>
  </si>
  <si>
    <t xml:space="preserve">[Glutes, Lower Back, Quadriceps, Shoulders, Traps]</t>
  </si>
  <si>
    <t xml:space="preserve">Smith Machine Hip Raise</t>
  </si>
  <si>
    <t xml:space="preserve">Smith Machine Incline Bench Press</t>
  </si>
  <si>
    <t xml:space="preserve">Smith Machine Leg Press</t>
  </si>
  <si>
    <t xml:space="preserve">Smith Machine One-Arm Upright Row</t>
  </si>
  <si>
    <t xml:space="preserve">Smith Machine Overhead Shoulder Press</t>
  </si>
  <si>
    <t xml:space="preserve">Smith Machine Pistol Squat</t>
  </si>
  <si>
    <t xml:space="preserve">Smith Machine Reverse Calf Raises</t>
  </si>
  <si>
    <t xml:space="preserve">Smith Machine Squat</t>
  </si>
  <si>
    <t xml:space="preserve">Smith Machine Stiff-Legged Deadlift</t>
  </si>
  <si>
    <t xml:space="preserve">Smith Machine Upright Row</t>
  </si>
  <si>
    <t xml:space="preserve">Smith Single-Leg Split Squat</t>
  </si>
  <si>
    <t xml:space="preserve">Snatch</t>
  </si>
  <si>
    <t xml:space="preserve">[Biceps, Glutes, Hamstrings, Lower Back, Shoulders, Traps, Triceps]</t>
  </si>
  <si>
    <t xml:space="preserve">Snatch Balance</t>
  </si>
  <si>
    <t xml:space="preserve">[Calves, Glutes, Hamstrings, Shoulders, Triceps]</t>
  </si>
  <si>
    <t xml:space="preserve">Snatch Deadlift</t>
  </si>
  <si>
    <t xml:space="preserve">[Forearms, Glutes, Hamstrings, Lower Back, Quadriceps, Traps]</t>
  </si>
  <si>
    <t xml:space="preserve">Snatch Pull</t>
  </si>
  <si>
    <t xml:space="preserve">Snatch Shrug</t>
  </si>
  <si>
    <t xml:space="preserve">Snatch from Blocks</t>
  </si>
  <si>
    <t xml:space="preserve">Speed Band Overhead Triceps</t>
  </si>
  <si>
    <t xml:space="preserve">Speed Box Squat</t>
  </si>
  <si>
    <t xml:space="preserve">Speed Squats</t>
  </si>
  <si>
    <t xml:space="preserve">Spell Caster</t>
  </si>
  <si>
    <t xml:space="preserve">[Glutes, Shoulders]</t>
  </si>
  <si>
    <t xml:space="preserve">Spider Crawl</t>
  </si>
  <si>
    <t xml:space="preserve">Spider Curl</t>
  </si>
  <si>
    <t xml:space="preserve">Spinal Stretch</t>
  </si>
  <si>
    <t xml:space="preserve">[Lats, Lower Back, Neck, Traps]</t>
  </si>
  <si>
    <t xml:space="preserve">Split Clean</t>
  </si>
  <si>
    <t xml:space="preserve">Split Jerk</t>
  </si>
  <si>
    <t xml:space="preserve">Split Jump</t>
  </si>
  <si>
    <t xml:space="preserve">Split Snatch</t>
  </si>
  <si>
    <t xml:space="preserve">[Calves, Forearms, Glutes, Hamstrings, Lower Back, Quadriceps, Shoulders, Traps, Triceps]</t>
  </si>
  <si>
    <t xml:space="preserve">Split Squat with Dumbbells</t>
  </si>
  <si>
    <t xml:space="preserve">Split Squats</t>
  </si>
  <si>
    <t xml:space="preserve">Squat Jerk</t>
  </si>
  <si>
    <t xml:space="preserve">Squat with Bands</t>
  </si>
  <si>
    <t xml:space="preserve">Squat with Chains</t>
  </si>
  <si>
    <t xml:space="preserve">Squat with Plate Movers</t>
  </si>
  <si>
    <t xml:space="preserve">Squats - With Bands</t>
  </si>
  <si>
    <t xml:space="preserve">Stairmaster</t>
  </si>
  <si>
    <t xml:space="preserve">Standing Alternating Dumbbell Press</t>
  </si>
  <si>
    <t xml:space="preserve">Standing Barbell Calf Raise</t>
  </si>
  <si>
    <t xml:space="preserve">Standing Barbell Press Behind Neck</t>
  </si>
  <si>
    <t xml:space="preserve">Standing Bent-Over One-Arm Dumbbell Triceps Extension</t>
  </si>
  <si>
    <t xml:space="preserve">Standing Bent-Over Two-Arm Dumbbell Triceps Extension</t>
  </si>
  <si>
    <t xml:space="preserve">Standing Biceps Cable Curl</t>
  </si>
  <si>
    <t xml:space="preserve">Standing Biceps Stretch</t>
  </si>
  <si>
    <t xml:space="preserve">Standing Bradford Press</t>
  </si>
  <si>
    <t xml:space="preserve">Standing Cable Chest Press</t>
  </si>
  <si>
    <t xml:space="preserve">Standing Cable Lift</t>
  </si>
  <si>
    <t xml:space="preserve">Standing Cable Wood Chop</t>
  </si>
  <si>
    <t xml:space="preserve">Standing Concentration Curl</t>
  </si>
  <si>
    <t xml:space="preserve">Standing Dumbbell Calf Raise</t>
  </si>
  <si>
    <t xml:space="preserve">Standing Dumbbell Press</t>
  </si>
  <si>
    <t xml:space="preserve">Standing Dumbbell Reverse Curl</t>
  </si>
  <si>
    <t xml:space="preserve">Standing Dumbbell Straight-Arm Front Delt Raise Above Head</t>
  </si>
  <si>
    <t xml:space="preserve">Standing Dumbbell Triceps Extension</t>
  </si>
  <si>
    <t xml:space="preserve">Standing Dumbbell Upright Row</t>
  </si>
  <si>
    <t xml:space="preserve">Standing Elevated Quad Stretch</t>
  </si>
  <si>
    <t xml:space="preserve">Standing Front Barbell Raise Over Head</t>
  </si>
  <si>
    <t xml:space="preserve">Standing Gastrocnemius Calf Stretch</t>
  </si>
  <si>
    <t xml:space="preserve">Standing Hamstring and Calf Stretch</t>
  </si>
  <si>
    <t xml:space="preserve">Standing Hip Circles</t>
  </si>
  <si>
    <t xml:space="preserve">Standing Hip Flexors</t>
  </si>
  <si>
    <t xml:space="preserve">Standing Inner-Biceps Curl</t>
  </si>
  <si>
    <t xml:space="preserve">Standing Lateral Stretch</t>
  </si>
  <si>
    <t xml:space="preserve">Standing Leg Curl</t>
  </si>
  <si>
    <t xml:space="preserve">Standing Long Jump</t>
  </si>
  <si>
    <t xml:space="preserve">Standing Low-Pulley Deltoid Raise</t>
  </si>
  <si>
    <t xml:space="preserve">Standing Low-Pulley One-Arm Triceps Extension</t>
  </si>
  <si>
    <t xml:space="preserve">Standing Military Press</t>
  </si>
  <si>
    <t xml:space="preserve">Standing Olympic Plate Hand Squeeze</t>
  </si>
  <si>
    <t xml:space="preserve">Standing One-Arm Cable Curl</t>
  </si>
  <si>
    <t xml:space="preserve">Standing One-Arm Dumbbell Curl Over Incline Bench</t>
  </si>
  <si>
    <t xml:space="preserve">Standing One-Arm Dumbbell Triceps Extension</t>
  </si>
  <si>
    <t xml:space="preserve">Standing Overhead Barbell Triceps Extension</t>
  </si>
  <si>
    <t xml:space="preserve">Standing Palm-In One-Arm Dumbbell Press</t>
  </si>
  <si>
    <t xml:space="preserve">Standing Palms-In Dumbbell Press</t>
  </si>
  <si>
    <t xml:space="preserve">Standing Palms-Up Barbell Behind The Back Wrist Curl</t>
  </si>
  <si>
    <t xml:space="preserve">Standing Pelvic Tilt</t>
  </si>
  <si>
    <t xml:space="preserve">Standing Rope Crunch</t>
  </si>
  <si>
    <t xml:space="preserve">Standing Soleus And Achilles Stretch</t>
  </si>
  <si>
    <t xml:space="preserve">Standing Toe Touches</t>
  </si>
  <si>
    <t xml:space="preserve">Standing Towel Triceps Extension</t>
  </si>
  <si>
    <t xml:space="preserve">Standing Two-Arm Overhead Throw</t>
  </si>
  <si>
    <t xml:space="preserve">[Chest, Lats]</t>
  </si>
  <si>
    <t xml:space="preserve">Star Jump</t>
  </si>
  <si>
    <t xml:space="preserve">Step-up with Knee Raise</t>
  </si>
  <si>
    <t xml:space="preserve">Step Mill</t>
  </si>
  <si>
    <t xml:space="preserve">Stiff-Legged Barbell Deadlift</t>
  </si>
  <si>
    <t xml:space="preserve">Stiff-Legged Dumbbell Deadlift</t>
  </si>
  <si>
    <t xml:space="preserve">Stiff Leg Barbell Good Morning</t>
  </si>
  <si>
    <t xml:space="preserve">Stomach Vacuum</t>
  </si>
  <si>
    <t xml:space="preserve">Straight-Arm Dumbbell Pullover</t>
  </si>
  <si>
    <t xml:space="preserve">Straight-Arm Pulldown</t>
  </si>
  <si>
    <t xml:space="preserve">Straight Bar Bench Mid Rows</t>
  </si>
  <si>
    <t xml:space="preserve">Straight Raises on Incline Bench</t>
  </si>
  <si>
    <t xml:space="preserve">Stride Jump Crossover</t>
  </si>
  <si>
    <t xml:space="preserve">Sumo Deadlift</t>
  </si>
  <si>
    <t xml:space="preserve">[Adductors, Forearms, Glutes, Lower Back, Middle Back, Quadriceps, Traps]</t>
  </si>
  <si>
    <t xml:space="preserve">Sumo Deadlift with Bands</t>
  </si>
  <si>
    <t xml:space="preserve">Sumo Deadlift with Chains</t>
  </si>
  <si>
    <t xml:space="preserve">[Abductors, Adductors, Forearms, Glutes, Lower Back, Middle Back, Quadriceps, Traps]</t>
  </si>
  <si>
    <t xml:space="preserve">Superman</t>
  </si>
  <si>
    <t xml:space="preserve">Supine Chest Throw</t>
  </si>
  <si>
    <t xml:space="preserve">Supine One-Arm Overhead Throw</t>
  </si>
  <si>
    <t xml:space="preserve">Supine Two-Arm Overhead Throw</t>
  </si>
  <si>
    <t xml:space="preserve">Suspended Fallout</t>
  </si>
  <si>
    <t xml:space="preserve">[Chest, Lower Back, Shoulders]</t>
  </si>
  <si>
    <t xml:space="preserve">Suspended Push-Up</t>
  </si>
  <si>
    <t xml:space="preserve">Suspended Reverse Crunch</t>
  </si>
  <si>
    <t xml:space="preserve">Suspended Row</t>
  </si>
  <si>
    <t xml:space="preserve">Suspended Split Squat</t>
  </si>
  <si>
    <t xml:space="preserve">Svend Press</t>
  </si>
  <si>
    <t xml:space="preserve">[Forearms, Shoulders, Triceps]</t>
  </si>
  <si>
    <t xml:space="preserve">T-Bar Row with Handle</t>
  </si>
  <si>
    <t xml:space="preserve">Tate Press</t>
  </si>
  <si>
    <t xml:space="preserve">The Straddle</t>
  </si>
  <si>
    <t xml:space="preserve">[Adductors, Calves]</t>
  </si>
  <si>
    <t xml:space="preserve">Tire Flip</t>
  </si>
  <si>
    <t xml:space="preserve">[Calves, Chest, Forearms, Glutes, Hamstrings, Lower Back, Shoulders, Traps, Triceps]</t>
  </si>
  <si>
    <t xml:space="preserve">Toe Touchers</t>
  </si>
  <si>
    <t xml:space="preserve">Trail Running/Walking</t>
  </si>
  <si>
    <t xml:space="preserve">Trap Bar Deadlift</t>
  </si>
  <si>
    <t xml:space="preserve">Tricep Dumbbell Kickback</t>
  </si>
  <si>
    <t xml:space="preserve">Tricep Side Stretch</t>
  </si>
  <si>
    <t xml:space="preserve">Triceps Overhead Extension with Rope</t>
  </si>
  <si>
    <t xml:space="preserve">Triceps Pushdown</t>
  </si>
  <si>
    <t xml:space="preserve">Triceps Pushdown - Rope Attachment</t>
  </si>
  <si>
    <t xml:space="preserve">Triceps Pushdown - V-Bar Attachment</t>
  </si>
  <si>
    <t xml:space="preserve">Triceps Stretch</t>
  </si>
  <si>
    <t xml:space="preserve">Tuck Crunch</t>
  </si>
  <si>
    <t xml:space="preserve">Two-Arm Dumbbell Preacher Curl</t>
  </si>
  <si>
    <t xml:space="preserve">Two-Arm Kettlebell Clean</t>
  </si>
  <si>
    <t xml:space="preserve">Two-Arm Kettlebell Jerk</t>
  </si>
  <si>
    <t xml:space="preserve">Two-Arm Kettlebell Military Press</t>
  </si>
  <si>
    <t xml:space="preserve">Two-Arm Kettlebell Row</t>
  </si>
  <si>
    <t xml:space="preserve">Underhand Cable Pulldowns</t>
  </si>
  <si>
    <t xml:space="preserve">Upper Back-Leg Grab</t>
  </si>
  <si>
    <t xml:space="preserve">[Lower Back, Middle Back]</t>
  </si>
  <si>
    <t xml:space="preserve">Upper Back Stretch</t>
  </si>
  <si>
    <t xml:space="preserve">Upright Barbell Row</t>
  </si>
  <si>
    <t xml:space="preserve">Upright Cable Row</t>
  </si>
  <si>
    <t xml:space="preserve">Upright Row - With Bands</t>
  </si>
  <si>
    <t xml:space="preserve">Upward Stretch</t>
  </si>
  <si>
    <t xml:space="preserve">V-Bar Pulldown</t>
  </si>
  <si>
    <t xml:space="preserve">V-Bar Pullup</t>
  </si>
  <si>
    <t xml:space="preserve">Vertical Swing</t>
  </si>
  <si>
    <t xml:space="preserve">[Glutes, Quadriceps, Shoulders]</t>
  </si>
  <si>
    <t xml:space="preserve">Walking, Treadmill</t>
  </si>
  <si>
    <t xml:space="preserve">Weighted Ball Hyperextension</t>
  </si>
  <si>
    <t xml:space="preserve">[Glutes, Hamstrings, Middle Back]</t>
  </si>
  <si>
    <t xml:space="preserve">Weighted Ball Side Bend</t>
  </si>
  <si>
    <t xml:space="preserve">Weighted Bench Dip</t>
  </si>
  <si>
    <t xml:space="preserve">Weighted Crunches</t>
  </si>
  <si>
    <t xml:space="preserve">Weighted Jump Squat</t>
  </si>
  <si>
    <t xml:space="preserve">Weighted Pull Ups</t>
  </si>
  <si>
    <t xml:space="preserve">Weighted Sissy Squat</t>
  </si>
  <si>
    <t xml:space="preserve">Weighted Sit-Ups - With Bands</t>
  </si>
  <si>
    <t xml:space="preserve">Weighted Squat</t>
  </si>
  <si>
    <t xml:space="preserve">Wide-Grip Barbell Bench Press</t>
  </si>
  <si>
    <t xml:space="preserve">Wide-Grip Decline Barbell Bench Press</t>
  </si>
  <si>
    <t xml:space="preserve">Wide-Grip Decline Barbell Pullover</t>
  </si>
  <si>
    <t xml:space="preserve">Wide-Grip Lat Pulldown</t>
  </si>
  <si>
    <t xml:space="preserve">Wide-Grip Pulldown Behind The Neck</t>
  </si>
  <si>
    <t xml:space="preserve">Wide-Grip Rear Pull-Up</t>
  </si>
  <si>
    <t xml:space="preserve">Wide-Grip Standing Barbell Curl</t>
  </si>
  <si>
    <t xml:space="preserve">Wide Stance Barbell Squat</t>
  </si>
  <si>
    <t xml:space="preserve">Wide Stance Stiff Legs</t>
  </si>
  <si>
    <t xml:space="preserve">[Adductors, Glutes, Lower Back]</t>
  </si>
  <si>
    <t xml:space="preserve">Wind Sprints</t>
  </si>
  <si>
    <t xml:space="preserve">Windmills</t>
  </si>
  <si>
    <t xml:space="preserve">[Glutes, Hamstrings, Lower Back]</t>
  </si>
  <si>
    <t xml:space="preserve">World's Greatest Stretch</t>
  </si>
  <si>
    <t xml:space="preserve">Wrist Circles</t>
  </si>
  <si>
    <t xml:space="preserve">Wrist Roller</t>
  </si>
  <si>
    <t xml:space="preserve">Wrist Rotations with Straight Bar</t>
  </si>
  <si>
    <t xml:space="preserve">Yoke Walk</t>
  </si>
  <si>
    <t xml:space="preserve">[Abdominals, Abductors, Adductors, Calves, Glutes, Hamstrings, Lower Back]</t>
  </si>
  <si>
    <t xml:space="preserve">Zercher Squats</t>
  </si>
  <si>
    <t xml:space="preserve">Zottman Curl</t>
  </si>
  <si>
    <t xml:space="preserve">Zottman Preacher Curl</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</si>
</sst>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0"/>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1"/>
      <color rgb="FFFFFFFF"/>
      <name val="Arial"/>
      <family val="0"/>
      <charset val="1"/>
    </font>
    <font>
      <sz val="10"/>
      <name val="Arial"/>
      <family val="0"/>
      <charset val="1"/>
    </font>
    <font>
      <b val="true"/>
      <sz val="11"/>
      <name val="Arial"/>
      <family val="0"/>
      <charset val="1"/>
    </font>
    <font>
      <b val="true"/>
      <sz val="13"/>
      <name val="Arial"/>
      <family val="0"/>
      <charset val="1"/>
    </font>
    <font>
      <b val="true"/>
      <sz val="11"/>
      <name val="Cambria"/>
      <family val="0"/>
      <charset val="1"/>
    </font>
  </fonts>
  <fills count="5">
    <fill>
      <patternFill patternType="none"/>
    </fill>
    <fill>
      <patternFill patternType="gray125"/>
    </fill>
    <fill>
      <patternFill patternType="solid">
        <fgColor rgb="FF1F4E78"/>
        <bgColor rgb="FF003366"/>
      </patternFill>
    </fill>
    <fill>
      <patternFill patternType="solid">
        <fgColor rgb="FFFCE4D6"/>
        <bgColor rgb="FFFFE699"/>
      </patternFill>
    </fill>
    <fill>
      <patternFill patternType="solid">
        <fgColor rgb="FFBDD7EE"/>
        <bgColor rgb="FFC6EFCE"/>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C00000"/>
        </patternFill>
      </fill>
    </dxf>
    <dxf>
      <fill>
        <patternFill>
          <bgColor rgb="FFFF6B6B"/>
        </patternFill>
      </fill>
    </dxf>
    <dxf>
      <fill>
        <patternFill>
          <bgColor rgb="FFFFC7CE"/>
        </patternFill>
      </fill>
    </dxf>
    <dxf>
      <fill>
        <patternFill>
          <bgColor rgb="FFC6EFCE"/>
        </patternFill>
      </fill>
    </dxf>
    <dxf>
      <fill>
        <patternFill>
          <bgColor rgb="FFFFE699"/>
        </patternFill>
      </fill>
    </dxf>
    <dxf>
      <fill>
        <patternFill>
          <bgColor rgb="FFFFB84D"/>
        </patternFill>
      </fill>
    </dxf>
    <dxf>
      <fill>
        <patternFill>
          <bgColor rgb="FFC55A11"/>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CE4D6"/>
      <rgbColor rgb="FFCCFFFF"/>
      <rgbColor rgb="FF660066"/>
      <rgbColor rgb="FFFF6B6B"/>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FC7CE"/>
      <rgbColor rgb="FF3366FF"/>
      <rgbColor rgb="FF33CCCC"/>
      <rgbColor rgb="FF99CC00"/>
      <rgbColor rgb="FFFFB84D"/>
      <rgbColor rgb="FFFF9900"/>
      <rgbColor rgb="FFC55A11"/>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0" t="0" r="0" b="0"/>
          </a:path>
          <a:tileRect l="0" t="0" r="0" b="0"/>
        </a:gradFill>
        <a:gradFill>
          <a:gsLst>
            <a:gs pos="0">
              <a:schemeClr val="phClr">
                <a:tint val="80000"/>
              </a:schemeClr>
            </a:gs>
            <a:gs pos="100000">
              <a:schemeClr val="phClr">
                <a:shade val="30000"/>
              </a:schemeClr>
            </a:gs>
          </a:gsLst>
          <a:path path="circle">
            <a:fillToRect l="0" t="0" r="0" b="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2" min="1" style="1" width="34"/>
    <col collapsed="false" customWidth="true" hidden="false" outlineLevel="0" max="5" min="3" style="1" width="26"/>
    <col collapsed="false" customWidth="true" hidden="false" outlineLevel="0" max="7" min="6" style="1" width="13"/>
    <col collapsed="false" customWidth="true" hidden="false" outlineLevel="0" max="8" min="8" style="1" width="10"/>
  </cols>
  <sheetData>
    <row r="1" customFormat="false" ht="17.25" hidden="false" customHeight="true" outlineLevel="0" collapsed="false">
      <c r="A1" s="2" t="s">
        <v>0</v>
      </c>
      <c r="B1" s="2"/>
      <c r="C1" s="2"/>
      <c r="D1" s="2"/>
      <c r="E1" s="2"/>
      <c r="F1" s="2"/>
      <c r="G1" s="2"/>
    </row>
    <row r="2" customFormat="false" ht="15" hidden="false" customHeight="true" outlineLevel="0" collapsed="false">
      <c r="A2" s="3" t="s">
        <v>1</v>
      </c>
      <c r="B2" s="3"/>
      <c r="C2" s="3"/>
      <c r="D2" s="3"/>
      <c r="E2" s="3"/>
      <c r="F2" s="3"/>
      <c r="G2" s="3"/>
    </row>
    <row r="4" customFormat="false" ht="15" hidden="false" customHeight="true" outlineLevel="0" collapsed="false">
      <c r="A4" s="4" t="s">
        <v>2</v>
      </c>
      <c r="B4" s="4" t="s">
        <v>3</v>
      </c>
      <c r="C4" s="4" t="s">
        <v>4</v>
      </c>
      <c r="D4" s="4" t="s">
        <v>5</v>
      </c>
      <c r="E4" s="4" t="s">
        <v>6</v>
      </c>
      <c r="F4" s="4" t="s">
        <v>7</v>
      </c>
      <c r="G4" s="4" t="s">
        <v>8</v>
      </c>
      <c r="H4" s="4"/>
      <c r="I4" s="4"/>
    </row>
    <row r="5" customFormat="false" ht="15" hidden="false" customHeight="true" outlineLevel="0" collapsed="false">
      <c r="A5" s="5" t="s">
        <v>9</v>
      </c>
      <c r="B5" s="5" t="s">
        <v>10</v>
      </c>
      <c r="C5" s="6" t="str">
        <f aca="false">IFERROR(INDEX('Exercise DB'!$B:$B,MATCH($B5,'Exercise DB'!$A:$A,0)),"Not found in db")</f>
        <v>[Chest]</v>
      </c>
      <c r="D5" s="6" t="str">
        <f aca="false">IFERROR(INDEX('Exercise DB'!$C:$C,MATCH($B5,'Exercise DB'!$A:$A,0)),"Not found in db")</f>
        <v>[Shoulders, Triceps]</v>
      </c>
      <c r="E5" s="6" t="n">
        <v>2</v>
      </c>
      <c r="F5" s="6" t="n">
        <v>2</v>
      </c>
      <c r="G5" s="6" t="s">
        <v>11</v>
      </c>
      <c r="H5" s="6"/>
      <c r="I5" s="6"/>
    </row>
    <row r="6" customFormat="false" ht="15" hidden="false" customHeight="true" outlineLevel="0" collapsed="false">
      <c r="A6" s="5" t="s">
        <v>9</v>
      </c>
      <c r="B6" s="5" t="s">
        <v>12</v>
      </c>
      <c r="C6" s="6" t="str">
        <f aca="false">IFERROR(INDEX('Exercise DB'!$B:$B,MATCH($B6,'Exercise DB'!$A:$A,0)),"Not found in db")</f>
        <v>[Middle Back]</v>
      </c>
      <c r="D6" s="6" t="str">
        <f aca="false">IFERROR(INDEX('Exercise DB'!$C:$C,MATCH($B6,'Exercise DB'!$A:$A,0)),"Not found in db")</f>
        <v>[Biceps, Lats, Shoulders]</v>
      </c>
      <c r="E6" s="6" t="n">
        <v>4</v>
      </c>
      <c r="F6" s="6" t="n">
        <v>4</v>
      </c>
      <c r="G6" s="6" t="s">
        <v>13</v>
      </c>
      <c r="H6" s="6"/>
      <c r="I6" s="6"/>
    </row>
    <row r="7" customFormat="false" ht="15" hidden="false" customHeight="true" outlineLevel="0" collapsed="false">
      <c r="A7" s="5" t="s">
        <v>9</v>
      </c>
      <c r="B7" s="5" t="s">
        <v>14</v>
      </c>
      <c r="C7" s="6" t="str">
        <f aca="false">IFERROR(INDEX('Exercise DB'!$B:$B,MATCH($B7,'Exercise DB'!$A:$A,0)),"Not found in db")</f>
        <v>[Shoulders]</v>
      </c>
      <c r="D7" s="6" t="str">
        <f aca="false">IFERROR(INDEX('Exercise DB'!$C:$C,MATCH($B7,'Exercise DB'!$A:$A,0)),"Not found in db")</f>
        <v>[]</v>
      </c>
      <c r="E7" s="6" t="n">
        <v>4</v>
      </c>
      <c r="F7" s="6" t="n">
        <v>4</v>
      </c>
      <c r="G7" s="6" t="s">
        <v>15</v>
      </c>
      <c r="H7" s="6"/>
      <c r="I7" s="6"/>
    </row>
    <row r="8" customFormat="false" ht="15" hidden="false" customHeight="true" outlineLevel="0" collapsed="false">
      <c r="A8" s="5" t="s">
        <v>9</v>
      </c>
      <c r="B8" s="5" t="s">
        <v>16</v>
      </c>
      <c r="C8" s="6" t="str">
        <f aca="false">IFERROR(INDEX('Exercise DB'!$B:$B,MATCH($B8,'Exercise DB'!$A:$A,0)),"Not found in db")</f>
        <v>[Biceps]</v>
      </c>
      <c r="D8" s="6" t="str">
        <f aca="false">IFERROR(INDEX('Exercise DB'!$C:$C,MATCH($B8,'Exercise DB'!$A:$A,0)),"Not found in db")</f>
        <v>[]</v>
      </c>
      <c r="E8" s="6" t="n">
        <v>2</v>
      </c>
      <c r="F8" s="6" t="n">
        <v>2</v>
      </c>
      <c r="G8" s="6" t="s">
        <v>13</v>
      </c>
      <c r="H8" s="6"/>
      <c r="I8" s="6"/>
    </row>
    <row r="9" customFormat="false" ht="15" hidden="false" customHeight="true" outlineLevel="0" collapsed="false">
      <c r="A9" s="5" t="s">
        <v>9</v>
      </c>
      <c r="B9" s="5" t="s">
        <v>17</v>
      </c>
      <c r="C9" s="6" t="str">
        <f aca="false">IFERROR(INDEX('Exercise DB'!$B:$B,MATCH($B9,'Exercise DB'!$A:$A,0)),"Not found in db")</f>
        <v>[Triceps]</v>
      </c>
      <c r="D9" s="6" t="str">
        <f aca="false">IFERROR(INDEX('Exercise DB'!$C:$C,MATCH($B9,'Exercise DB'!$A:$A,0)),"Not found in db")</f>
        <v>[]</v>
      </c>
      <c r="E9" s="6" t="n">
        <v>4</v>
      </c>
      <c r="F9" s="6" t="n">
        <v>4</v>
      </c>
      <c r="G9" s="6" t="s">
        <v>13</v>
      </c>
      <c r="H9" s="6"/>
      <c r="I9" s="6"/>
    </row>
    <row r="10" customFormat="false" ht="15" hidden="false" customHeight="true" outlineLevel="0" collapsed="false">
      <c r="A10" s="5" t="s">
        <v>9</v>
      </c>
      <c r="B10" s="5" t="s">
        <v>18</v>
      </c>
      <c r="C10" s="6" t="str">
        <f aca="false">IFERROR(INDEX('Exercise DB'!$B:$B,MATCH($B10,'Exercise DB'!$A:$A,0)),"Not found in db")</f>
        <v>[Glutes]</v>
      </c>
      <c r="D10" s="6" t="str">
        <f aca="false">IFERROR(INDEX('Exercise DB'!$C:$C,MATCH($B10,'Exercise DB'!$A:$A,0)),"Not found in db")</f>
        <v>[Calves, Hamstrings]</v>
      </c>
      <c r="E10" s="6" t="n">
        <v>3</v>
      </c>
      <c r="F10" s="6" t="n">
        <v>3</v>
      </c>
      <c r="G10" s="6" t="s">
        <v>11</v>
      </c>
      <c r="H10" s="6"/>
      <c r="I10" s="6"/>
    </row>
    <row r="11" customFormat="false" ht="15" hidden="false" customHeight="true" outlineLevel="0" collapsed="false">
      <c r="A11" s="5" t="s">
        <v>9</v>
      </c>
      <c r="B11" s="5" t="s">
        <v>19</v>
      </c>
      <c r="C11" s="6" t="str">
        <f aca="false">IFERROR(INDEX('Exercise DB'!$B:$B,MATCH($B11,'Exercise DB'!$A:$A,0)),"Not found in db")</f>
        <v>[Quadriceps]</v>
      </c>
      <c r="D11" s="6" t="str">
        <f aca="false">IFERROR(INDEX('Exercise DB'!$C:$C,MATCH($B11,'Exercise DB'!$A:$A,0)),"Not found in db")</f>
        <v>[]</v>
      </c>
      <c r="E11" s="6" t="n">
        <v>2</v>
      </c>
      <c r="F11" s="6" t="n">
        <v>2</v>
      </c>
      <c r="G11" s="6" t="s">
        <v>15</v>
      </c>
      <c r="H11" s="6"/>
      <c r="I11" s="6"/>
    </row>
    <row r="12" customFormat="false" ht="15" hidden="false" customHeight="true" outlineLevel="0" collapsed="false">
      <c r="A12" s="5" t="s">
        <v>9</v>
      </c>
      <c r="B12" s="5" t="s">
        <v>20</v>
      </c>
      <c r="C12" s="6" t="str">
        <f aca="false">IFERROR(INDEX('Exercise DB'!$B:$B,MATCH($B12,'Exercise DB'!$A:$A,0)),"Not found in db")</f>
        <v>[Adductors]</v>
      </c>
      <c r="D12" s="6" t="str">
        <f aca="false">IFERROR(INDEX('Exercise DB'!$C:$C,MATCH($B12,'Exercise DB'!$A:$A,0)),"Not found in db")</f>
        <v>[Glutes, Hamstrings]</v>
      </c>
      <c r="E12" s="6" t="n">
        <v>3</v>
      </c>
      <c r="F12" s="6" t="n">
        <v>3</v>
      </c>
      <c r="G12" s="6" t="s">
        <v>15</v>
      </c>
      <c r="H12" s="6"/>
      <c r="I12" s="6"/>
    </row>
    <row r="13" customFormat="false" ht="15" hidden="false" customHeight="true" outlineLevel="0" collapsed="false">
      <c r="A13" s="5" t="s">
        <v>9</v>
      </c>
      <c r="B13" s="5" t="s">
        <v>21</v>
      </c>
      <c r="C13" s="6" t="str">
        <f aca="false">IFERROR(INDEX('Exercise DB'!$B:$B,MATCH($B13,'Exercise DB'!$A:$A,0)),"Not found in db")</f>
        <v>[Abdominals]</v>
      </c>
      <c r="D13" s="6" t="str">
        <f aca="false">IFERROR(INDEX('Exercise DB'!$C:$C,MATCH($B13,'Exercise DB'!$A:$A,0)),"Not found in db")</f>
        <v>[]</v>
      </c>
      <c r="E13" s="6" t="n">
        <v>2</v>
      </c>
      <c r="F13" s="6" t="n">
        <v>2</v>
      </c>
      <c r="G13" s="6" t="s">
        <v>15</v>
      </c>
      <c r="H13" s="6"/>
      <c r="I13" s="6"/>
    </row>
    <row r="14" customFormat="false" ht="15" hidden="false" customHeight="true" outlineLevel="0" collapsed="false">
      <c r="A14" s="5" t="s">
        <v>9</v>
      </c>
      <c r="B14" s="5" t="s">
        <v>22</v>
      </c>
      <c r="C14" s="6" t="str">
        <f aca="false">IFERROR(INDEX('Exercise DB'!$B:$B,MATCH($B14,'Exercise DB'!$A:$A,0)),"Not found in db")</f>
        <v>[Abdominals]</v>
      </c>
      <c r="D14" s="6" t="str">
        <f aca="false">IFERROR(INDEX('Exercise DB'!$C:$C,MATCH($B14,'Exercise DB'!$A:$A,0)),"Not found in db")</f>
        <v>[]</v>
      </c>
      <c r="E14" s="6" t="n">
        <v>2</v>
      </c>
      <c r="F14" s="6" t="n">
        <v>2</v>
      </c>
      <c r="G14" s="6" t="s">
        <v>15</v>
      </c>
      <c r="H14" s="6"/>
      <c r="I14" s="6"/>
    </row>
    <row r="15" customFormat="false" ht="15" hidden="false" customHeight="true" outlineLevel="0" collapsed="false">
      <c r="A15" s="5" t="s">
        <v>9</v>
      </c>
      <c r="B15" s="5" t="s">
        <v>23</v>
      </c>
      <c r="C15" s="6" t="str">
        <f aca="false">IFERROR(INDEX('Exercise DB'!$B:$B,MATCH($B15,'Exercise DB'!$A:$A,0)),"Not found in db")</f>
        <v>[Traps]</v>
      </c>
      <c r="D15" s="6" t="str">
        <f aca="false">IFERROR(INDEX('Exercise DB'!$C:$C,MATCH($B15,'Exercise DB'!$A:$A,0)),"Not found in db")</f>
        <v>[]</v>
      </c>
      <c r="E15" s="6" t="n">
        <v>3</v>
      </c>
      <c r="F15" s="6" t="n">
        <v>3</v>
      </c>
      <c r="G15" s="6" t="s">
        <v>13</v>
      </c>
      <c r="H15" s="7"/>
      <c r="I15" s="7"/>
    </row>
    <row r="16" customFormat="false" ht="14.25" hidden="false" customHeight="true" outlineLevel="0" collapsed="false">
      <c r="A16" s="7"/>
      <c r="B16" s="7" t="s">
        <v>24</v>
      </c>
      <c r="C16" s="7"/>
      <c r="D16" s="7"/>
      <c r="E16" s="7" t="n">
        <f aca="false">SUM(E5:E15)</f>
        <v>31</v>
      </c>
      <c r="F16" s="7" t="n">
        <f aca="false">SUM(F5:F15)</f>
        <v>31</v>
      </c>
      <c r="G16" s="7"/>
    </row>
    <row r="17" customFormat="false" ht="15" hidden="false" customHeight="true" outlineLevel="0" collapsed="false">
      <c r="H17" s="6"/>
      <c r="I17" s="6"/>
    </row>
    <row r="18" customFormat="false" ht="15" hidden="false" customHeight="true" outlineLevel="0" collapsed="false">
      <c r="A18" s="5" t="s">
        <v>25</v>
      </c>
      <c r="B18" s="5" t="s">
        <v>26</v>
      </c>
      <c r="C18" s="6" t="str">
        <f aca="false">IFERROR(INDEX('Exercise DB'!$B:$B,MATCH($B18,'Exercise DB'!$A:$A,0)),"Not found in db")</f>
        <v>[Chest]</v>
      </c>
      <c r="D18" s="6" t="str">
        <f aca="false">IFERROR(INDEX('Exercise DB'!$C:$C,MATCH($B18,'Exercise DB'!$A:$A,0)),"Not found in db")</f>
        <v>[Shoulders, Triceps]</v>
      </c>
      <c r="E18" s="6" t="n">
        <v>3</v>
      </c>
      <c r="F18" s="6" t="n">
        <v>3</v>
      </c>
      <c r="G18" s="6" t="s">
        <v>13</v>
      </c>
      <c r="H18" s="6"/>
      <c r="I18" s="6"/>
    </row>
    <row r="19" customFormat="false" ht="15" hidden="false" customHeight="true" outlineLevel="0" collapsed="false">
      <c r="A19" s="5" t="s">
        <v>25</v>
      </c>
      <c r="B19" s="5" t="s">
        <v>27</v>
      </c>
      <c r="C19" s="6" t="str">
        <f aca="false">IFERROR(INDEX('Exercise DB'!$B:$B,MATCH($B19,'Exercise DB'!$A:$A,0)),"Not found in db")</f>
        <v>[Glutes]</v>
      </c>
      <c r="D19" s="6" t="str">
        <f aca="false">IFERROR(INDEX('Exercise DB'!$C:$C,MATCH($B19,'Exercise DB'!$A:$A,0)),"Not found in db")</f>
        <v>[Hamstrings, Lower Back]</v>
      </c>
      <c r="E19" s="6" t="n">
        <v>3</v>
      </c>
      <c r="F19" s="6" t="n">
        <v>3</v>
      </c>
      <c r="G19" s="6" t="s">
        <v>13</v>
      </c>
      <c r="H19" s="6"/>
      <c r="I19" s="6"/>
    </row>
    <row r="20" customFormat="false" ht="15" hidden="false" customHeight="true" outlineLevel="0" collapsed="false">
      <c r="A20" s="5" t="s">
        <v>25</v>
      </c>
      <c r="B20" s="5" t="s">
        <v>28</v>
      </c>
      <c r="C20" s="6" t="str">
        <f aca="false">IFERROR(INDEX('Exercise DB'!$B:$B,MATCH($B20,'Exercise DB'!$A:$A,0)),"Not found in db")</f>
        <v>[Lats]</v>
      </c>
      <c r="D20" s="6" t="str">
        <f aca="false">IFERROR(INDEX('Exercise DB'!$C:$C,MATCH($B20,'Exercise DB'!$A:$A,0)),"Not found in db")</f>
        <v>[Biceps, Middle Back]</v>
      </c>
      <c r="E20" s="6" t="n">
        <v>4</v>
      </c>
      <c r="F20" s="6" t="n">
        <v>4</v>
      </c>
      <c r="G20" s="6" t="s">
        <v>29</v>
      </c>
      <c r="H20" s="6"/>
      <c r="I20" s="6"/>
    </row>
    <row r="21" customFormat="false" ht="15" hidden="false" customHeight="true" outlineLevel="0" collapsed="false">
      <c r="A21" s="5" t="s">
        <v>25</v>
      </c>
      <c r="B21" s="5" t="s">
        <v>30</v>
      </c>
      <c r="C21" s="6" t="str">
        <f aca="false">IFERROR(INDEX('Exercise DB'!$B:$B,MATCH($B21,'Exercise DB'!$A:$A,0)),"Not found in db")</f>
        <v>[Quadriceps]</v>
      </c>
      <c r="D21" s="6" t="str">
        <f aca="false">IFERROR(INDEX('Exercise DB'!$C:$C,MATCH($B21,'Exercise DB'!$A:$A,0)),"Not found in db")</f>
        <v>[Calves, Glutes, Hamstrings]</v>
      </c>
      <c r="E21" s="6" t="n">
        <v>3</v>
      </c>
      <c r="F21" s="6" t="n">
        <v>3</v>
      </c>
      <c r="G21" s="6" t="s">
        <v>13</v>
      </c>
      <c r="H21" s="6"/>
      <c r="I21" s="6"/>
    </row>
    <row r="22" customFormat="false" ht="15" hidden="false" customHeight="true" outlineLevel="0" collapsed="false">
      <c r="A22" s="5" t="s">
        <v>25</v>
      </c>
      <c r="B22" s="5" t="s">
        <v>31</v>
      </c>
      <c r="C22" s="6" t="str">
        <f aca="false">IFERROR(INDEX('Exercise DB'!$B:$B,MATCH($B22,'Exercise DB'!$A:$A,0)),"Not found in db")</f>
        <v>[Shoulders]</v>
      </c>
      <c r="D22" s="6" t="str">
        <f aca="false">IFERROR(INDEX('Exercise DB'!$C:$C,MATCH($B22,'Exercise DB'!$A:$A,0)),"Not found in db")</f>
        <v>[Triceps]</v>
      </c>
      <c r="E22" s="6" t="n">
        <v>3</v>
      </c>
      <c r="F22" s="6" t="n">
        <v>3</v>
      </c>
      <c r="G22" s="6" t="s">
        <v>11</v>
      </c>
      <c r="H22" s="6"/>
      <c r="I22" s="6"/>
    </row>
    <row r="23" customFormat="false" ht="15" hidden="false" customHeight="true" outlineLevel="0" collapsed="false">
      <c r="A23" s="5" t="s">
        <v>25</v>
      </c>
      <c r="B23" s="5" t="s">
        <v>32</v>
      </c>
      <c r="C23" s="6" t="str">
        <f aca="false">IFERROR(INDEX('Exercise DB'!$B:$B,MATCH($B23,'Exercise DB'!$A:$A,0)),"Not found in db")</f>
        <v>[Hamstrings]</v>
      </c>
      <c r="D23" s="6" t="str">
        <f aca="false">IFERROR(INDEX('Exercise DB'!$C:$C,MATCH($B23,'Exercise DB'!$A:$A,0)),"Not found in db")</f>
        <v>[]</v>
      </c>
      <c r="E23" s="6" t="n">
        <v>5</v>
      </c>
      <c r="F23" s="6" t="n">
        <v>5</v>
      </c>
      <c r="G23" s="6" t="s">
        <v>13</v>
      </c>
      <c r="H23" s="6"/>
      <c r="I23" s="6"/>
    </row>
    <row r="24" customFormat="false" ht="15" hidden="false" customHeight="true" outlineLevel="0" collapsed="false">
      <c r="A24" s="5" t="s">
        <v>25</v>
      </c>
      <c r="B24" s="5" t="s">
        <v>33</v>
      </c>
      <c r="C24" s="6" t="str">
        <f aca="false">IFERROR(INDEX('Exercise DB'!$B:$B,MATCH($B24,'Exercise DB'!$A:$A,0)),"Not found in db")</f>
        <v>[Calves]</v>
      </c>
      <c r="D24" s="6" t="str">
        <f aca="false">IFERROR(INDEX('Exercise DB'!$C:$C,MATCH($B24,'Exercise DB'!$A:$A,0)),"Not found in db")</f>
        <v>[]</v>
      </c>
      <c r="E24" s="6" t="n">
        <v>3</v>
      </c>
      <c r="F24" s="6" t="n">
        <v>3</v>
      </c>
      <c r="G24" s="6" t="s">
        <v>15</v>
      </c>
      <c r="H24" s="6"/>
      <c r="I24" s="6"/>
    </row>
    <row r="25" customFormat="false" ht="15" hidden="false" customHeight="true" outlineLevel="0" collapsed="false">
      <c r="A25" s="5" t="s">
        <v>25</v>
      </c>
      <c r="B25" s="5" t="s">
        <v>34</v>
      </c>
      <c r="C25" s="6" t="str">
        <f aca="false">IFERROR(INDEX('Exercise DB'!$B:$B,MATCH($B25,'Exercise DB'!$A:$A,0)),"Not found in db")</f>
        <v>[Biceps]</v>
      </c>
      <c r="D25" s="6" t="str">
        <f aca="false">IFERROR(INDEX('Exercise DB'!$C:$C,MATCH($B25,'Exercise DB'!$A:$A,0)),"Not found in db")</f>
        <v>[Forearms]</v>
      </c>
      <c r="E25" s="6" t="n">
        <v>2</v>
      </c>
      <c r="F25" s="6" t="n">
        <v>2</v>
      </c>
      <c r="G25" s="6" t="s">
        <v>15</v>
      </c>
      <c r="H25" s="6"/>
      <c r="I25" s="6"/>
    </row>
    <row r="26" customFormat="false" ht="15" hidden="false" customHeight="true" outlineLevel="0" collapsed="false">
      <c r="A26" s="5" t="s">
        <v>25</v>
      </c>
      <c r="B26" s="5" t="s">
        <v>35</v>
      </c>
      <c r="C26" s="6" t="str">
        <f aca="false">IFERROR(INDEX('Exercise DB'!$B:$B,MATCH($B26,'Exercise DB'!$A:$A,0)),"Not found in db")</f>
        <v>[Lower Back]</v>
      </c>
      <c r="D26" s="6" t="str">
        <f aca="false">IFERROR(INDEX('Exercise DB'!$C:$C,MATCH($B26,'Exercise DB'!$A:$A,0)),"Not found in db")</f>
        <v>[Glutes, Hamstrings]</v>
      </c>
      <c r="E26" s="6" t="n">
        <v>3</v>
      </c>
      <c r="F26" s="6" t="n">
        <v>3</v>
      </c>
      <c r="G26" s="6" t="s">
        <v>13</v>
      </c>
      <c r="H26" s="6"/>
      <c r="I26" s="6"/>
    </row>
    <row r="27" customFormat="false" ht="15" hidden="false" customHeight="true" outlineLevel="0" collapsed="false">
      <c r="A27" s="5" t="s">
        <v>25</v>
      </c>
      <c r="B27" s="5" t="s">
        <v>23</v>
      </c>
      <c r="C27" s="6" t="str">
        <f aca="false">IFERROR(INDEX('Exercise DB'!$B:$B,MATCH($B27,'Exercise DB'!$A:$A,0)),"Not found in db")</f>
        <v>[Traps]</v>
      </c>
      <c r="D27" s="6" t="str">
        <f aca="false">IFERROR(INDEX('Exercise DB'!$C:$C,MATCH($B27,'Exercise DB'!$A:$A,0)),"Not found in db")</f>
        <v>[]</v>
      </c>
      <c r="E27" s="6" t="n">
        <v>3</v>
      </c>
      <c r="F27" s="6" t="n">
        <v>3</v>
      </c>
      <c r="G27" s="6" t="s">
        <v>13</v>
      </c>
      <c r="H27" s="7"/>
      <c r="I27" s="7"/>
    </row>
    <row r="28" customFormat="false" ht="14.25" hidden="false" customHeight="true" outlineLevel="0" collapsed="false">
      <c r="A28" s="7"/>
      <c r="B28" s="7" t="s">
        <v>24</v>
      </c>
      <c r="C28" s="7"/>
      <c r="D28" s="7"/>
      <c r="E28" s="7" t="n">
        <f aca="false">SUM(E18:E27)</f>
        <v>32</v>
      </c>
      <c r="F28" s="7" t="n">
        <f aca="false">SUM(F18:F27)</f>
        <v>32</v>
      </c>
      <c r="G28" s="7"/>
    </row>
    <row r="29" customFormat="false" ht="15" hidden="false" customHeight="true" outlineLevel="0" collapsed="false">
      <c r="H29" s="6"/>
      <c r="I29" s="6"/>
    </row>
    <row r="30" customFormat="false" ht="15" hidden="false" customHeight="true" outlineLevel="0" collapsed="false">
      <c r="A30" s="5" t="s">
        <v>36</v>
      </c>
      <c r="B30" s="5" t="s">
        <v>37</v>
      </c>
      <c r="C30" s="6" t="str">
        <f aca="false">IFERROR(INDEX('Exercise DB'!$B:$B,MATCH($B30,'Exercise DB'!$A:$A,0)),"Not found in db")</f>
        <v>[Chest]</v>
      </c>
      <c r="D30" s="6" t="str">
        <f aca="false">IFERROR(INDEX('Exercise DB'!$C:$C,MATCH($B30,'Exercise DB'!$A:$A,0)),"Not found in db")</f>
        <v>[Shoulders, Triceps]</v>
      </c>
      <c r="E30" s="6" t="n">
        <v>2</v>
      </c>
      <c r="F30" s="6" t="n">
        <v>2</v>
      </c>
      <c r="G30" s="6" t="s">
        <v>11</v>
      </c>
      <c r="H30" s="6"/>
      <c r="I30" s="6"/>
    </row>
    <row r="31" customFormat="false" ht="15" hidden="false" customHeight="true" outlineLevel="0" collapsed="false">
      <c r="A31" s="5" t="s">
        <v>36</v>
      </c>
      <c r="B31" s="5" t="s">
        <v>38</v>
      </c>
      <c r="C31" s="6" t="str">
        <f aca="false">IFERROR(INDEX('Exercise DB'!$B:$B,MATCH($B31,'Exercise DB'!$A:$A,0)),"Not found in db")</f>
        <v>[Abductors]</v>
      </c>
      <c r="D31" s="6" t="str">
        <f aca="false">IFERROR(INDEX('Exercise DB'!$C:$C,MATCH($B31,'Exercise DB'!$A:$A,0)),"Not found in db")</f>
        <v>[Glutes]</v>
      </c>
      <c r="E31" s="6" t="n">
        <v>6</v>
      </c>
      <c r="F31" s="6" t="n">
        <v>6</v>
      </c>
      <c r="G31" s="6" t="s">
        <v>15</v>
      </c>
      <c r="H31" s="6"/>
      <c r="I31" s="6"/>
    </row>
    <row r="32" customFormat="false" ht="15" hidden="false" customHeight="true" outlineLevel="0" collapsed="false">
      <c r="A32" s="5" t="s">
        <v>36</v>
      </c>
      <c r="B32" s="5" t="s">
        <v>28</v>
      </c>
      <c r="C32" s="6" t="str">
        <f aca="false">IFERROR(INDEX('Exercise DB'!$B:$B,MATCH($B32,'Exercise DB'!$A:$A,0)),"Not found in db")</f>
        <v>[Lats]</v>
      </c>
      <c r="D32" s="6" t="str">
        <f aca="false">IFERROR(INDEX('Exercise DB'!$C:$C,MATCH($B32,'Exercise DB'!$A:$A,0)),"Not found in db")</f>
        <v>[Biceps, Middle Back]</v>
      </c>
      <c r="E32" s="6" t="n">
        <v>4</v>
      </c>
      <c r="F32" s="6" t="n">
        <v>4</v>
      </c>
      <c r="G32" s="6" t="s">
        <v>29</v>
      </c>
      <c r="H32" s="6"/>
      <c r="I32" s="6"/>
    </row>
    <row r="33" customFormat="false" ht="15" hidden="false" customHeight="true" outlineLevel="0" collapsed="false">
      <c r="A33" s="5" t="s">
        <v>36</v>
      </c>
      <c r="B33" s="5" t="s">
        <v>19</v>
      </c>
      <c r="C33" s="6" t="str">
        <f aca="false">IFERROR(INDEX('Exercise DB'!$B:$B,MATCH($B33,'Exercise DB'!$A:$A,0)),"Not found in db")</f>
        <v>[Quadriceps]</v>
      </c>
      <c r="D33" s="6" t="str">
        <f aca="false">IFERROR(INDEX('Exercise DB'!$C:$C,MATCH($B33,'Exercise DB'!$A:$A,0)),"Not found in db")</f>
        <v>[]</v>
      </c>
      <c r="E33" s="6" t="n">
        <v>2</v>
      </c>
      <c r="F33" s="6" t="n">
        <v>2</v>
      </c>
      <c r="G33" s="6" t="s">
        <v>15</v>
      </c>
      <c r="H33" s="6"/>
      <c r="I33" s="6"/>
    </row>
    <row r="34" customFormat="false" ht="15" hidden="false" customHeight="true" outlineLevel="0" collapsed="false">
      <c r="A34" s="5" t="s">
        <v>36</v>
      </c>
      <c r="B34" s="5" t="s">
        <v>14</v>
      </c>
      <c r="C34" s="6" t="str">
        <f aca="false">IFERROR(INDEX('Exercise DB'!$B:$B,MATCH($B34,'Exercise DB'!$A:$A,0)),"Not found in db")</f>
        <v>[Shoulders]</v>
      </c>
      <c r="D34" s="6" t="str">
        <f aca="false">IFERROR(INDEX('Exercise DB'!$C:$C,MATCH($B34,'Exercise DB'!$A:$A,0)),"Not found in db")</f>
        <v>[]</v>
      </c>
      <c r="E34" s="6" t="n">
        <v>2</v>
      </c>
      <c r="F34" s="6" t="n">
        <v>2</v>
      </c>
      <c r="G34" s="6" t="s">
        <v>15</v>
      </c>
      <c r="H34" s="6"/>
      <c r="I34" s="6"/>
    </row>
    <row r="35" customFormat="false" ht="15" hidden="false" customHeight="true" outlineLevel="0" collapsed="false">
      <c r="A35" s="5" t="s">
        <v>36</v>
      </c>
      <c r="B35" s="5" t="s">
        <v>39</v>
      </c>
      <c r="C35" s="6" t="str">
        <f aca="false">IFERROR(INDEX('Exercise DB'!$B:$B,MATCH($B35,'Exercise DB'!$A:$A,0)),"Not found in db")</f>
        <v>[Hamstrings]</v>
      </c>
      <c r="D35" s="6" t="str">
        <f aca="false">IFERROR(INDEX('Exercise DB'!$C:$C,MATCH($B35,'Exercise DB'!$A:$A,0)),"Not found in db")</f>
        <v>[]</v>
      </c>
      <c r="E35" s="6" t="n">
        <v>4</v>
      </c>
      <c r="F35" s="6" t="n">
        <v>4</v>
      </c>
      <c r="G35" s="6" t="s">
        <v>13</v>
      </c>
      <c r="H35" s="6"/>
      <c r="I35" s="6"/>
    </row>
    <row r="36" customFormat="false" ht="15" hidden="false" customHeight="true" outlineLevel="0" collapsed="false">
      <c r="A36" s="5" t="s">
        <v>36</v>
      </c>
      <c r="B36" s="5" t="s">
        <v>40</v>
      </c>
      <c r="C36" s="6" t="str">
        <f aca="false">IFERROR(INDEX('Exercise DB'!$B:$B,MATCH($B36,'Exercise DB'!$A:$A,0)),"Not found in db")</f>
        <v>[Biceps]</v>
      </c>
      <c r="D36" s="6" t="str">
        <f aca="false">IFERROR(INDEX('Exercise DB'!$C:$C,MATCH($B36,'Exercise DB'!$A:$A,0)),"Not found in db")</f>
        <v>[Forearms]</v>
      </c>
      <c r="E36" s="6" t="n">
        <v>3</v>
      </c>
      <c r="F36" s="6" t="n">
        <v>3</v>
      </c>
      <c r="G36" s="6" t="s">
        <v>11</v>
      </c>
      <c r="H36" s="6"/>
      <c r="I36" s="6"/>
    </row>
    <row r="37" customFormat="false" ht="15" hidden="false" customHeight="true" outlineLevel="0" collapsed="false">
      <c r="A37" s="5" t="s">
        <v>36</v>
      </c>
      <c r="B37" s="5" t="s">
        <v>20</v>
      </c>
      <c r="C37" s="6" t="str">
        <f aca="false">IFERROR(INDEX('Exercise DB'!$B:$B,MATCH($B37,'Exercise DB'!$A:$A,0)),"Not found in db")</f>
        <v>[Adductors]</v>
      </c>
      <c r="D37" s="6" t="str">
        <f aca="false">IFERROR(INDEX('Exercise DB'!$C:$C,MATCH($B37,'Exercise DB'!$A:$A,0)),"Not found in db")</f>
        <v>[Glutes, Hamstrings]</v>
      </c>
      <c r="E37" s="6" t="n">
        <v>3</v>
      </c>
      <c r="F37" s="6" t="n">
        <v>3</v>
      </c>
      <c r="G37" s="6" t="s">
        <v>15</v>
      </c>
      <c r="H37" s="6"/>
      <c r="I37" s="6"/>
    </row>
    <row r="38" customFormat="false" ht="15" hidden="false" customHeight="true" outlineLevel="0" collapsed="false">
      <c r="A38" s="5" t="s">
        <v>36</v>
      </c>
      <c r="B38" s="5" t="s">
        <v>41</v>
      </c>
      <c r="C38" s="6" t="str">
        <f aca="false">IFERROR(INDEX('Exercise DB'!$B:$B,MATCH($B38,'Exercise DB'!$A:$A,0)),"Not found in db")</f>
        <v>[Triceps]</v>
      </c>
      <c r="D38" s="6" t="str">
        <f aca="false">IFERROR(INDEX('Exercise DB'!$C:$C,MATCH($B38,'Exercise DB'!$A:$A,0)),"Not found in db")</f>
        <v>[]</v>
      </c>
      <c r="E38" s="6" t="n">
        <v>3</v>
      </c>
      <c r="F38" s="6" t="n">
        <v>3</v>
      </c>
      <c r="G38" s="6" t="s">
        <v>13</v>
      </c>
      <c r="H38" s="6"/>
      <c r="I38" s="6"/>
    </row>
    <row r="39" customFormat="false" ht="15" hidden="false" customHeight="true" outlineLevel="0" collapsed="false">
      <c r="A39" s="5" t="s">
        <v>36</v>
      </c>
      <c r="B39" s="5" t="s">
        <v>21</v>
      </c>
      <c r="C39" s="6" t="str">
        <f aca="false">IFERROR(INDEX('Exercise DB'!$B:$B,MATCH($B39,'Exercise DB'!$A:$A,0)),"Not found in db")</f>
        <v>[Abdominals]</v>
      </c>
      <c r="D39" s="6" t="str">
        <f aca="false">IFERROR(INDEX('Exercise DB'!$C:$C,MATCH($B39,'Exercise DB'!$A:$A,0)),"Not found in db")</f>
        <v>[]</v>
      </c>
      <c r="E39" s="6" t="n">
        <v>3</v>
      </c>
      <c r="F39" s="6" t="n">
        <v>3</v>
      </c>
      <c r="G39" s="6" t="s">
        <v>15</v>
      </c>
      <c r="H39" s="7"/>
      <c r="I39" s="7"/>
    </row>
    <row r="40" customFormat="false" ht="15" hidden="false" customHeight="true" outlineLevel="0" collapsed="false">
      <c r="A40" s="7"/>
      <c r="B40" s="7" t="s">
        <v>24</v>
      </c>
      <c r="C40" s="7"/>
      <c r="D40" s="7"/>
      <c r="E40" s="7" t="n">
        <f aca="false">SUM(E30:E39)</f>
        <v>32</v>
      </c>
      <c r="F40" s="7" t="n">
        <f aca="false">SUM(F30:F39)</f>
        <v>32</v>
      </c>
      <c r="G40" s="7"/>
      <c r="H40" s="7"/>
      <c r="I40" s="7"/>
    </row>
    <row r="41" customFormat="false" ht="15" hidden="false" customHeight="true" outlineLevel="0" collapsed="false">
      <c r="H41" s="6"/>
      <c r="I41" s="6"/>
    </row>
    <row r="42" customFormat="false" ht="15" hidden="false" customHeight="true" outlineLevel="0" collapsed="false">
      <c r="A42" s="5" t="s">
        <v>42</v>
      </c>
      <c r="B42" s="5" t="s">
        <v>43</v>
      </c>
      <c r="C42" s="6" t="str">
        <f aca="false">IFERROR(INDEX('Exercise DB'!$B:$B,MATCH($B42,'Exercise DB'!$A:$A,0)),"Not found in db")</f>
        <v>[Chest]</v>
      </c>
      <c r="D42" s="6" t="str">
        <f aca="false">IFERROR(INDEX('Exercise DB'!$C:$C,MATCH($B42,'Exercise DB'!$A:$A,0)),"Not found in db")</f>
        <v>[]</v>
      </c>
      <c r="E42" s="6" t="n">
        <v>3</v>
      </c>
      <c r="F42" s="6" t="n">
        <v>3</v>
      </c>
      <c r="G42" s="6" t="s">
        <v>15</v>
      </c>
      <c r="H42" s="6"/>
      <c r="I42" s="6"/>
    </row>
    <row r="43" customFormat="false" ht="15" hidden="false" customHeight="true" outlineLevel="0" collapsed="false">
      <c r="A43" s="5" t="s">
        <v>42</v>
      </c>
      <c r="B43" s="5" t="s">
        <v>44</v>
      </c>
      <c r="C43" s="6" t="str">
        <f aca="false">IFERROR(INDEX('Exercise DB'!$B:$B,MATCH($B43,'Exercise DB'!$A:$A,0)),"Not found in db")</f>
        <v>[Glutes]</v>
      </c>
      <c r="D43" s="6" t="str">
        <f aca="false">IFERROR(INDEX('Exercise DB'!$C:$C,MATCH($B43,'Exercise DB'!$A:$A,0)),"Not found in db")</f>
        <v>[Hamstrings]</v>
      </c>
      <c r="E43" s="6" t="n">
        <v>3</v>
      </c>
      <c r="F43" s="6" t="n">
        <v>3</v>
      </c>
      <c r="G43" s="6" t="s">
        <v>15</v>
      </c>
      <c r="H43" s="6"/>
      <c r="I43" s="6"/>
    </row>
    <row r="44" customFormat="false" ht="15" hidden="false" customHeight="true" outlineLevel="0" collapsed="false">
      <c r="A44" s="5" t="s">
        <v>42</v>
      </c>
      <c r="B44" s="5" t="s">
        <v>12</v>
      </c>
      <c r="C44" s="6" t="str">
        <f aca="false">IFERROR(INDEX('Exercise DB'!$B:$B,MATCH($B44,'Exercise DB'!$A:$A,0)),"Not found in db")</f>
        <v>[Middle Back]</v>
      </c>
      <c r="D44" s="6" t="str">
        <f aca="false">IFERROR(INDEX('Exercise DB'!$C:$C,MATCH($B44,'Exercise DB'!$A:$A,0)),"Not found in db")</f>
        <v>[Biceps, Lats, Shoulders]</v>
      </c>
      <c r="E44" s="6" t="n">
        <v>3</v>
      </c>
      <c r="F44" s="6" t="n">
        <v>3</v>
      </c>
      <c r="G44" s="6" t="s">
        <v>13</v>
      </c>
      <c r="H44" s="6"/>
      <c r="I44" s="6"/>
    </row>
    <row r="45" customFormat="false" ht="15" hidden="false" customHeight="true" outlineLevel="0" collapsed="false">
      <c r="A45" s="5" t="s">
        <v>42</v>
      </c>
      <c r="B45" s="5" t="s">
        <v>30</v>
      </c>
      <c r="C45" s="6" t="str">
        <f aca="false">IFERROR(INDEX('Exercise DB'!$B:$B,MATCH($B45,'Exercise DB'!$A:$A,0)),"Not found in db")</f>
        <v>[Quadriceps]</v>
      </c>
      <c r="D45" s="6" t="str">
        <f aca="false">IFERROR(INDEX('Exercise DB'!$C:$C,MATCH($B45,'Exercise DB'!$A:$A,0)),"Not found in db")</f>
        <v>[Calves, Glutes, Hamstrings]</v>
      </c>
      <c r="E45" s="6" t="n">
        <v>3</v>
      </c>
      <c r="F45" s="6" t="n">
        <v>3</v>
      </c>
      <c r="G45" s="6" t="s">
        <v>13</v>
      </c>
      <c r="H45" s="6"/>
      <c r="I45" s="6"/>
    </row>
    <row r="46" customFormat="false" ht="15" hidden="false" customHeight="true" outlineLevel="0" collapsed="false">
      <c r="A46" s="5" t="s">
        <v>42</v>
      </c>
      <c r="B46" s="5" t="s">
        <v>31</v>
      </c>
      <c r="C46" s="6" t="str">
        <f aca="false">IFERROR(INDEX('Exercise DB'!$B:$B,MATCH($B46,'Exercise DB'!$A:$A,0)),"Not found in db")</f>
        <v>[Shoulders]</v>
      </c>
      <c r="D46" s="6" t="str">
        <f aca="false">IFERROR(INDEX('Exercise DB'!$C:$C,MATCH($B46,'Exercise DB'!$A:$A,0)),"Not found in db")</f>
        <v>[Triceps]</v>
      </c>
      <c r="E46" s="6" t="n">
        <v>3</v>
      </c>
      <c r="F46" s="6" t="n">
        <v>3</v>
      </c>
      <c r="G46" s="6" t="s">
        <v>11</v>
      </c>
      <c r="H46" s="6"/>
      <c r="I46" s="6"/>
    </row>
    <row r="47" customFormat="false" ht="15" hidden="false" customHeight="true" outlineLevel="0" collapsed="false">
      <c r="A47" s="5" t="s">
        <v>42</v>
      </c>
      <c r="B47" s="5" t="s">
        <v>33</v>
      </c>
      <c r="C47" s="6" t="str">
        <f aca="false">IFERROR(INDEX('Exercise DB'!$B:$B,MATCH($B47,'Exercise DB'!$A:$A,0)),"Not found in db")</f>
        <v>[Calves]</v>
      </c>
      <c r="D47" s="6" t="str">
        <f aca="false">IFERROR(INDEX('Exercise DB'!$C:$C,MATCH($B47,'Exercise DB'!$A:$A,0)),"Not found in db")</f>
        <v>[]</v>
      </c>
      <c r="E47" s="6" t="n">
        <v>4</v>
      </c>
      <c r="F47" s="6" t="n">
        <v>4</v>
      </c>
      <c r="G47" s="6" t="s">
        <v>15</v>
      </c>
      <c r="H47" s="6"/>
      <c r="I47" s="6"/>
    </row>
    <row r="48" customFormat="false" ht="15" hidden="false" customHeight="true" outlineLevel="0" collapsed="false">
      <c r="A48" s="5" t="s">
        <v>42</v>
      </c>
      <c r="B48" s="5" t="s">
        <v>35</v>
      </c>
      <c r="C48" s="6" t="str">
        <f aca="false">IFERROR(INDEX('Exercise DB'!$B:$B,MATCH($B48,'Exercise DB'!$A:$A,0)),"Not found in db")</f>
        <v>[Lower Back]</v>
      </c>
      <c r="D48" s="6" t="str">
        <f aca="false">IFERROR(INDEX('Exercise DB'!$C:$C,MATCH($B48,'Exercise DB'!$A:$A,0)),"Not found in db")</f>
        <v>[Glutes, Hamstrings]</v>
      </c>
      <c r="E48" s="6" t="n">
        <v>3</v>
      </c>
      <c r="F48" s="6" t="n">
        <v>3</v>
      </c>
      <c r="G48" s="6" t="s">
        <v>13</v>
      </c>
      <c r="H48" s="6"/>
      <c r="I48" s="6"/>
    </row>
    <row r="49" customFormat="false" ht="15" hidden="false" customHeight="true" outlineLevel="0" collapsed="false">
      <c r="A49" s="5" t="s">
        <v>42</v>
      </c>
      <c r="B49" s="5" t="s">
        <v>45</v>
      </c>
      <c r="C49" s="6" t="str">
        <f aca="false">IFERROR(INDEX('Exercise DB'!$B:$B,MATCH($B49,'Exercise DB'!$A:$A,0)),"Not found in db")</f>
        <v>[Biceps]</v>
      </c>
      <c r="D49" s="6" t="str">
        <f aca="false">IFERROR(INDEX('Exercise DB'!$C:$C,MATCH($B49,'Exercise DB'!$A:$A,0)),"Not found in db")</f>
        <v>[]</v>
      </c>
      <c r="E49" s="6" t="n">
        <v>2</v>
      </c>
      <c r="F49" s="6" t="n">
        <v>2</v>
      </c>
      <c r="G49" s="6" t="s">
        <v>13</v>
      </c>
      <c r="H49" s="6"/>
      <c r="I49" s="6"/>
    </row>
    <row r="50" customFormat="false" ht="15" hidden="false" customHeight="true" outlineLevel="0" collapsed="false">
      <c r="A50" s="5" t="s">
        <v>42</v>
      </c>
      <c r="B50" s="5" t="s">
        <v>22</v>
      </c>
      <c r="C50" s="6" t="str">
        <f aca="false">IFERROR(INDEX('Exercise DB'!$B:$B,MATCH($B50,'Exercise DB'!$A:$A,0)),"Not found in db")</f>
        <v>[Abdominals]</v>
      </c>
      <c r="D50" s="6" t="str">
        <f aca="false">IFERROR(INDEX('Exercise DB'!$C:$C,MATCH($B50,'Exercise DB'!$A:$A,0)),"Not found in db")</f>
        <v>[]</v>
      </c>
      <c r="E50" s="6" t="n">
        <v>3</v>
      </c>
      <c r="F50" s="6" t="n">
        <v>3</v>
      </c>
      <c r="G50" s="6" t="s">
        <v>15</v>
      </c>
      <c r="H50" s="6"/>
      <c r="I50" s="6"/>
    </row>
    <row r="51" customFormat="false" ht="15" hidden="false" customHeight="true" outlineLevel="0" collapsed="false">
      <c r="A51" s="5" t="s">
        <v>42</v>
      </c>
      <c r="B51" s="5" t="s">
        <v>34</v>
      </c>
      <c r="C51" s="6" t="str">
        <f aca="false">IFERROR(INDEX('Exercise DB'!$B:$B,MATCH($B51,'Exercise DB'!$A:$A,0)),"Not found in db")</f>
        <v>[Biceps]</v>
      </c>
      <c r="D51" s="6" t="str">
        <f aca="false">IFERROR(INDEX('Exercise DB'!$C:$C,MATCH($B51,'Exercise DB'!$A:$A,0)),"Not found in db")</f>
        <v>[Forearms]</v>
      </c>
      <c r="E51" s="6" t="n">
        <v>2</v>
      </c>
      <c r="F51" s="6" t="n">
        <v>2</v>
      </c>
      <c r="G51" s="6" t="s">
        <v>15</v>
      </c>
      <c r="H51" s="6"/>
      <c r="I51" s="6"/>
    </row>
    <row r="52" customFormat="false" ht="15" hidden="false" customHeight="true" outlineLevel="0" collapsed="false">
      <c r="A52" s="5" t="s">
        <v>42</v>
      </c>
      <c r="B52" s="5" t="s">
        <v>23</v>
      </c>
      <c r="C52" s="6" t="str">
        <f aca="false">IFERROR(INDEX('Exercise DB'!$B:$B,MATCH($B52,'Exercise DB'!$A:$A,0)),"Not found in db")</f>
        <v>[Traps]</v>
      </c>
      <c r="D52" s="6" t="str">
        <f aca="false">IFERROR(INDEX('Exercise DB'!$C:$C,MATCH($B52,'Exercise DB'!$A:$A,0)),"Not found in db")</f>
        <v>[]</v>
      </c>
      <c r="E52" s="6" t="n">
        <v>3</v>
      </c>
      <c r="F52" s="6" t="n">
        <v>3</v>
      </c>
      <c r="G52" s="6" t="s">
        <v>13</v>
      </c>
      <c r="H52" s="7"/>
      <c r="I52" s="7"/>
    </row>
    <row r="53" customFormat="false" ht="14.25" hidden="false" customHeight="true" outlineLevel="0" collapsed="false">
      <c r="A53" s="7"/>
      <c r="B53" s="7" t="s">
        <v>24</v>
      </c>
      <c r="C53" s="7"/>
      <c r="D53" s="7"/>
      <c r="E53" s="7" t="n">
        <f aca="false">SUM(E42:E52)</f>
        <v>32</v>
      </c>
      <c r="F53" s="7" t="n">
        <f aca="false">SUM(F42:F52)</f>
        <v>32</v>
      </c>
      <c r="G53" s="7"/>
    </row>
    <row r="54" customFormat="false" ht="15" hidden="false" customHeight="true" outlineLevel="0" collapsed="false">
      <c r="H54" s="8"/>
      <c r="I54" s="8"/>
    </row>
    <row r="55" customFormat="false" ht="14.25" hidden="false" customHeight="true" outlineLevel="0" collapsed="false">
      <c r="A55" s="7"/>
      <c r="B55" s="7" t="s">
        <v>46</v>
      </c>
      <c r="C55" s="7"/>
      <c r="D55" s="7"/>
      <c r="E55" s="7" t="n">
        <f aca="false">E16+E28+E40+E53</f>
        <v>127</v>
      </c>
      <c r="F55" s="7" t="n">
        <f aca="false">F16+F28+F40+F53</f>
        <v>127</v>
      </c>
      <c r="G55" s="7"/>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 min="2" style="1" width="12"/>
    <col collapsed="false" customWidth="true" hidden="false" outlineLevel="0" max="6" min="4" style="1" width="16"/>
  </cols>
  <sheetData>
    <row r="1" customFormat="false" ht="15.75" hidden="false" customHeight="true" outlineLevel="0" collapsed="false">
      <c r="A1" s="9" t="s">
        <v>47</v>
      </c>
    </row>
    <row r="2" customFormat="false" ht="15" hidden="false" customHeight="true" outlineLevel="0" collapsed="false">
      <c r="A2" s="10" t="s">
        <v>48</v>
      </c>
    </row>
    <row r="4" customFormat="false" ht="15" hidden="false" customHeight="true" outlineLevel="0" collapsed="false">
      <c r="A4" s="4" t="s">
        <v>49</v>
      </c>
      <c r="B4" s="4" t="s">
        <v>50</v>
      </c>
      <c r="C4" s="4" t="s">
        <v>51</v>
      </c>
      <c r="D4" s="4" t="s">
        <v>52</v>
      </c>
      <c r="E4" s="4" t="s">
        <v>53</v>
      </c>
      <c r="F4" s="4" t="s">
        <v>54</v>
      </c>
    </row>
    <row r="5" customFormat="false" ht="15" hidden="false" customHeight="true" outlineLevel="0" collapsed="false">
      <c r="A5" s="11" t="s">
        <v>55</v>
      </c>
      <c r="B5" s="12" t="n">
        <f aca="false">SUMPRODUCT(ISNUMBER(SEARCH($A5,'Main Program'!$C$5:$C$52))*'Main Program'!$E$5:$E$52)</f>
        <v>10</v>
      </c>
      <c r="C5" s="12" t="n">
        <f aca="false">SUMPRODUCT(ISNUMBER(SEARCH($A5,'Main Program'!$C$5:$C$52))*'Main Program'!$F$5:$F$52)</f>
        <v>10</v>
      </c>
      <c r="D5" s="13" t="s">
        <v>56</v>
      </c>
      <c r="E5" s="13" t="str">
        <f aca="false">IF(AND(B5&gt;=10,B5&lt;=20),"Within 10-20",IF(B5&lt;10,"Below range","Above range"))</f>
        <v>Within 10-20</v>
      </c>
      <c r="F5" s="13" t="str">
        <f aca="false">IF(AND(C5&gt;=10,C5&lt;=20),"Within 10-20",IF(C5&lt;10,"Below range","Above range"))</f>
        <v>Within 10-20</v>
      </c>
    </row>
    <row r="6" customFormat="false" ht="15" hidden="false" customHeight="true" outlineLevel="0" collapsed="false">
      <c r="A6" s="11" t="s">
        <v>57</v>
      </c>
      <c r="B6" s="12" t="n">
        <f aca="false">SUMPRODUCT(ISNUMBER(SEARCH($A6,'Main Program'!$C$5:$C$52))*'Main Program'!$E$5:$E$52)</f>
        <v>7</v>
      </c>
      <c r="C6" s="12" t="n">
        <f aca="false">SUMPRODUCT(ISNUMBER(SEARCH($A6,'Main Program'!$C$5:$C$52))*'Main Program'!$F$5:$F$52)</f>
        <v>7</v>
      </c>
      <c r="D6" s="13" t="s">
        <v>56</v>
      </c>
      <c r="E6" s="13" t="str">
        <f aca="false">IF(AND(B6&gt;=10,B6&lt;=20),"Within 10-20",IF(B6&lt;10,"Below range","Above range"))</f>
        <v>Below range</v>
      </c>
      <c r="F6" s="13" t="str">
        <f aca="false">IF(AND(C6&gt;=10,C6&lt;=20),"Within 10-20",IF(C6&lt;10,"Below range","Above range"))</f>
        <v>Below range</v>
      </c>
    </row>
    <row r="7" customFormat="false" ht="15" hidden="false" customHeight="true" outlineLevel="0" collapsed="false">
      <c r="A7" s="11" t="s">
        <v>58</v>
      </c>
      <c r="B7" s="12" t="n">
        <f aca="false">SUMPRODUCT(ISNUMBER(SEARCH($A7,'Main Program'!$C$5:$C$52))*'Main Program'!$E$5:$E$52)</f>
        <v>8</v>
      </c>
      <c r="C7" s="12" t="n">
        <f aca="false">SUMPRODUCT(ISNUMBER(SEARCH($A7,'Main Program'!$C$5:$C$52))*'Main Program'!$F$5:$F$52)</f>
        <v>8</v>
      </c>
      <c r="D7" s="13" t="s">
        <v>56</v>
      </c>
      <c r="E7" s="13" t="str">
        <f aca="false">IF(AND(B7&gt;=10,B7&lt;=20),"Within 10-20",IF(B7&lt;10,"Below range","Above range"))</f>
        <v>Below range</v>
      </c>
      <c r="F7" s="13" t="str">
        <f aca="false">IF(AND(C7&gt;=10,C7&lt;=20),"Within 10-20",IF(C7&lt;10,"Below range","Above range"))</f>
        <v>Below range</v>
      </c>
    </row>
    <row r="8" customFormat="false" ht="15" hidden="false" customHeight="true" outlineLevel="0" collapsed="false">
      <c r="A8" s="11" t="s">
        <v>59</v>
      </c>
      <c r="B8" s="12" t="n">
        <f aca="false">SUMPRODUCT(ISNUMBER(SEARCH($A8,'Main Program'!$C$5:$C$52))*'Main Program'!$E$5:$E$52)</f>
        <v>9</v>
      </c>
      <c r="C8" s="12" t="n">
        <f aca="false">SUMPRODUCT(ISNUMBER(SEARCH($A8,'Main Program'!$C$5:$C$52))*'Main Program'!$F$5:$F$52)</f>
        <v>9</v>
      </c>
      <c r="D8" s="13" t="s">
        <v>56</v>
      </c>
      <c r="E8" s="13" t="str">
        <f aca="false">IF(AND(B8&gt;=10,B8&lt;=20),"Within 10-20",IF(B8&lt;10,"Below range","Above range"))</f>
        <v>Below range</v>
      </c>
      <c r="F8" s="13" t="str">
        <f aca="false">IF(AND(C8&gt;=10,C8&lt;=20),"Within 10-20",IF(C8&lt;10,"Below range","Above range"))</f>
        <v>Below range</v>
      </c>
    </row>
    <row r="9" customFormat="false" ht="15" hidden="false" customHeight="true" outlineLevel="0" collapsed="false">
      <c r="A9" s="11" t="s">
        <v>60</v>
      </c>
      <c r="B9" s="12" t="n">
        <f aca="false">SUMPRODUCT(ISNUMBER(SEARCH($A9,'Main Program'!$C$5:$C$52))*'Main Program'!$E$5:$E$52)</f>
        <v>12</v>
      </c>
      <c r="C9" s="12" t="n">
        <f aca="false">SUMPRODUCT(ISNUMBER(SEARCH($A9,'Main Program'!$C$5:$C$52))*'Main Program'!$F$5:$F$52)</f>
        <v>12</v>
      </c>
      <c r="D9" s="13" t="s">
        <v>56</v>
      </c>
      <c r="E9" s="13" t="str">
        <f aca="false">IF(AND(B9&gt;=10,B9&lt;=20),"Within 10-20",IF(B9&lt;10,"Below range","Above range"))</f>
        <v>Within 10-20</v>
      </c>
      <c r="F9" s="13" t="str">
        <f aca="false">IF(AND(C9&gt;=10,C9&lt;=20),"Within 10-20",IF(C9&lt;10,"Below range","Above range"))</f>
        <v>Within 10-20</v>
      </c>
    </row>
    <row r="10" customFormat="false" ht="15" hidden="false" customHeight="true" outlineLevel="0" collapsed="false">
      <c r="A10" s="11" t="s">
        <v>61</v>
      </c>
      <c r="B10" s="12" t="n">
        <f aca="false">SUMPRODUCT(ISNUMBER(SEARCH($A10,'Main Program'!$C$5:$C$52))*'Main Program'!$E$5:$E$52)</f>
        <v>11</v>
      </c>
      <c r="C10" s="12" t="n">
        <f aca="false">SUMPRODUCT(ISNUMBER(SEARCH($A10,'Main Program'!$C$5:$C$52))*'Main Program'!$F$5:$F$52)</f>
        <v>11</v>
      </c>
      <c r="D10" s="13" t="s">
        <v>56</v>
      </c>
      <c r="E10" s="13" t="str">
        <f aca="false">IF(AND(B10&gt;=10,B10&lt;=20),"Within 10-20",IF(B10&lt;10,"Below range","Above range"))</f>
        <v>Within 10-20</v>
      </c>
      <c r="F10" s="13" t="str">
        <f aca="false">IF(AND(C10&gt;=10,C10&lt;=20),"Within 10-20",IF(C10&lt;10,"Below range","Above range"))</f>
        <v>Within 10-20</v>
      </c>
    </row>
    <row r="11" customFormat="false" ht="15" hidden="false" customHeight="true" outlineLevel="0" collapsed="false">
      <c r="A11" s="11" t="s">
        <v>62</v>
      </c>
      <c r="B11" s="12" t="n">
        <f aca="false">SUMPRODUCT(ISNUMBER(SEARCH($A11,'Main Program'!$C$5:$C$52))*'Main Program'!$E$5:$E$52)</f>
        <v>7</v>
      </c>
      <c r="C11" s="12" t="n">
        <f aca="false">SUMPRODUCT(ISNUMBER(SEARCH($A11,'Main Program'!$C$5:$C$52))*'Main Program'!$F$5:$F$52)</f>
        <v>7</v>
      </c>
      <c r="D11" s="13" t="s">
        <v>56</v>
      </c>
      <c r="E11" s="13" t="str">
        <f aca="false">IF(AND(B11&gt;=10,B11&lt;=20),"Within 10-20",IF(B11&lt;10,"Below range","Above range"))</f>
        <v>Below range</v>
      </c>
      <c r="F11" s="13" t="str">
        <f aca="false">IF(AND(C11&gt;=10,C11&lt;=20),"Within 10-20",IF(C11&lt;10,"Below range","Above range"))</f>
        <v>Below range</v>
      </c>
    </row>
    <row r="12" customFormat="false" ht="15" hidden="false" customHeight="true" outlineLevel="0" collapsed="false">
      <c r="A12" s="11" t="s">
        <v>63</v>
      </c>
      <c r="B12" s="12" t="n">
        <f aca="false">SUMPRODUCT(ISNUMBER(SEARCH($A12,'Main Program'!$C$5:$C$52))*'Main Program'!$E$5:$E$52)</f>
        <v>0</v>
      </c>
      <c r="C12" s="12" t="n">
        <f aca="false">SUMPRODUCT(ISNUMBER(SEARCH($A12,'Main Program'!$C$5:$C$52))*'Main Program'!$F$5:$F$52)</f>
        <v>0</v>
      </c>
      <c r="D12" s="13" t="s">
        <v>56</v>
      </c>
      <c r="E12" s="13" t="str">
        <f aca="false">IF(AND(B12&gt;=10,B12&lt;=20),"Within 10-20",IF(B12&lt;10,"Below range","Above range"))</f>
        <v>Below range</v>
      </c>
      <c r="F12" s="13" t="str">
        <f aca="false">IF(AND(C12&gt;=10,C12&lt;=20),"Within 10-20",IF(C12&lt;10,"Below range","Above range"))</f>
        <v>Below range</v>
      </c>
    </row>
    <row r="13" customFormat="false" ht="15" hidden="false" customHeight="true" outlineLevel="0" collapsed="false">
      <c r="A13" s="11" t="s">
        <v>64</v>
      </c>
      <c r="B13" s="12" t="n">
        <f aca="false">SUMPRODUCT(ISNUMBER(SEARCH($A13,'Main Program'!$C$5:$C$52))*'Main Program'!$E$5:$E$52)</f>
        <v>10</v>
      </c>
      <c r="C13" s="12" t="n">
        <f aca="false">SUMPRODUCT(ISNUMBER(SEARCH($A13,'Main Program'!$C$5:$C$52))*'Main Program'!$F$5:$F$52)</f>
        <v>10</v>
      </c>
      <c r="D13" s="13" t="s">
        <v>56</v>
      </c>
      <c r="E13" s="13" t="str">
        <f aca="false">IF(AND(B13&gt;=10,B13&lt;=20),"Within 10-20",IF(B13&lt;10,"Below range","Above range"))</f>
        <v>Within 10-20</v>
      </c>
      <c r="F13" s="13" t="str">
        <f aca="false">IF(AND(C13&gt;=10,C13&lt;=20),"Within 10-20",IF(C13&lt;10,"Below range","Above range"))</f>
        <v>Within 10-20</v>
      </c>
    </row>
    <row r="14" customFormat="false" ht="15" hidden="false" customHeight="true" outlineLevel="0" collapsed="false">
      <c r="A14" s="11" t="s">
        <v>65</v>
      </c>
      <c r="B14" s="12" t="n">
        <f aca="false">SUMPRODUCT(ISNUMBER(SEARCH($A14,'Main Program'!$C$5:$C$52))*'Main Program'!$E$5:$E$52)</f>
        <v>9</v>
      </c>
      <c r="C14" s="12" t="n">
        <f aca="false">SUMPRODUCT(ISNUMBER(SEARCH($A14,'Main Program'!$C$5:$C$52))*'Main Program'!$F$5:$F$52)</f>
        <v>9</v>
      </c>
      <c r="D14" s="13" t="s">
        <v>56</v>
      </c>
      <c r="E14" s="13" t="str">
        <f aca="false">IF(AND(B14&gt;=10,B14&lt;=20),"Within 10-20",IF(B14&lt;10,"Below range","Above range"))</f>
        <v>Below range</v>
      </c>
      <c r="F14" s="13" t="str">
        <f aca="false">IF(AND(C14&gt;=10,C14&lt;=20),"Within 10-20",IF(C14&lt;10,"Below range","Above range"))</f>
        <v>Below range</v>
      </c>
    </row>
    <row r="15" customFormat="false" ht="15" hidden="false" customHeight="true" outlineLevel="0" collapsed="false">
      <c r="A15" s="11" t="s">
        <v>66</v>
      </c>
      <c r="B15" s="12" t="n">
        <f aca="false">SUMPRODUCT(ISNUMBER(SEARCH($A15,'Main Program'!$C$5:$C$52))*'Main Program'!$E$5:$E$52)</f>
        <v>10</v>
      </c>
      <c r="C15" s="12" t="n">
        <f aca="false">SUMPRODUCT(ISNUMBER(SEARCH($A15,'Main Program'!$C$5:$C$52))*'Main Program'!$F$5:$F$52)</f>
        <v>10</v>
      </c>
      <c r="D15" s="13" t="s">
        <v>56</v>
      </c>
      <c r="E15" s="13" t="str">
        <f aca="false">IF(AND(B15&gt;=10,B15&lt;=20),"Within 10-20",IF(B15&lt;10,"Below range","Above range"))</f>
        <v>Within 10-20</v>
      </c>
      <c r="F15" s="13" t="str">
        <f aca="false">IF(AND(C15&gt;=10,C15&lt;=20),"Within 10-20",IF(C15&lt;10,"Below range","Above range"))</f>
        <v>Within 10-20</v>
      </c>
    </row>
    <row r="16" customFormat="false" ht="15" hidden="false" customHeight="true" outlineLevel="0" collapsed="false">
      <c r="A16" s="11" t="s">
        <v>67</v>
      </c>
      <c r="B16" s="12" t="n">
        <f aca="false">SUMPRODUCT(ISNUMBER(SEARCH($A16,'Main Program'!$C$5:$C$52))*'Main Program'!$E$5:$E$52)</f>
        <v>9</v>
      </c>
      <c r="C16" s="12" t="n">
        <f aca="false">SUMPRODUCT(ISNUMBER(SEARCH($A16,'Main Program'!$C$5:$C$52))*'Main Program'!$F$5:$F$52)</f>
        <v>9</v>
      </c>
      <c r="D16" s="13" t="s">
        <v>56</v>
      </c>
      <c r="E16" s="13" t="str">
        <f aca="false">IF(AND(B16&gt;=10,B16&lt;=20),"Within 10-20",IF(B16&lt;10,"Below range","Above range"))</f>
        <v>Below range</v>
      </c>
      <c r="F16" s="13" t="str">
        <f aca="false">IF(AND(C16&gt;=10,C16&lt;=20),"Within 10-20",IF(C16&lt;10,"Below range","Above range"))</f>
        <v>Below range</v>
      </c>
    </row>
    <row r="17" customFormat="false" ht="15" hidden="false" customHeight="true" outlineLevel="0" collapsed="false">
      <c r="A17" s="11" t="s">
        <v>68</v>
      </c>
      <c r="B17" s="12" t="n">
        <f aca="false">SUMPRODUCT(ISNUMBER(SEARCH($A17,'Main Program'!$C$5:$C$52))*'Main Program'!$E$5:$E$52)</f>
        <v>6</v>
      </c>
      <c r="C17" s="12" t="n">
        <f aca="false">SUMPRODUCT(ISNUMBER(SEARCH($A17,'Main Program'!$C$5:$C$52))*'Main Program'!$F$5:$F$52)</f>
        <v>6</v>
      </c>
      <c r="D17" s="13" t="s">
        <v>56</v>
      </c>
      <c r="E17" s="13" t="str">
        <f aca="false">IF(AND(B17&gt;=10,B17&lt;=20),"Within 10-20",IF(B17&lt;10,"Below range","Above range"))</f>
        <v>Below range</v>
      </c>
      <c r="F17" s="13" t="str">
        <f aca="false">IF(AND(C17&gt;=10,C17&lt;=20),"Within 10-20",IF(C17&lt;10,"Below range","Above range"))</f>
        <v>Below range</v>
      </c>
    </row>
    <row r="18" customFormat="false" ht="15" hidden="false" customHeight="true" outlineLevel="0" collapsed="false">
      <c r="A18" s="11" t="s">
        <v>69</v>
      </c>
      <c r="B18" s="12" t="n">
        <f aca="false">SUMPRODUCT(ISNUMBER(SEARCH($A18,'Main Program'!$C$5:$C$52))*'Main Program'!$E$5:$E$52)</f>
        <v>6</v>
      </c>
      <c r="C18" s="12" t="n">
        <f aca="false">SUMPRODUCT(ISNUMBER(SEARCH($A18,'Main Program'!$C$5:$C$52))*'Main Program'!$F$5:$F$52)</f>
        <v>6</v>
      </c>
      <c r="D18" s="13" t="s">
        <v>56</v>
      </c>
      <c r="E18" s="13" t="str">
        <f aca="false">IF(AND(B18&gt;=10,B18&lt;=20),"Within 10-20",IF(B18&lt;10,"Below range","Above range"))</f>
        <v>Below range</v>
      </c>
      <c r="F18" s="13" t="str">
        <f aca="false">IF(AND(C18&gt;=10,C18&lt;=20),"Within 10-20",IF(C18&lt;10,"Below range","Above range"))</f>
        <v>Below range</v>
      </c>
    </row>
    <row r="19" customFormat="false" ht="15" hidden="false" customHeight="true" outlineLevel="0" collapsed="false">
      <c r="A19" s="11" t="s">
        <v>70</v>
      </c>
      <c r="B19" s="12" t="n">
        <f aca="false">SUMPRODUCT(ISNUMBER(SEARCH($A19,'Main Program'!$C$5:$C$52))*'Main Program'!$E$5:$E$52)</f>
        <v>7</v>
      </c>
      <c r="C19" s="12" t="n">
        <f aca="false">SUMPRODUCT(ISNUMBER(SEARCH($A19,'Main Program'!$C$5:$C$52))*'Main Program'!$F$5:$F$52)</f>
        <v>7</v>
      </c>
      <c r="D19" s="13" t="s">
        <v>56</v>
      </c>
      <c r="E19" s="13" t="str">
        <f aca="false">IF(AND(B19&gt;=10,B19&lt;=20),"Within 10-20",IF(B19&lt;10,"Below range","Above range"))</f>
        <v>Below range</v>
      </c>
      <c r="F19" s="13" t="str">
        <f aca="false">IF(AND(C19&gt;=10,C19&lt;=20),"Within 10-20",IF(C19&lt;10,"Below range","Above range"))</f>
        <v>Below range</v>
      </c>
    </row>
    <row r="20" customFormat="false" ht="15" hidden="false" customHeight="true" outlineLevel="0" collapsed="false">
      <c r="A20" s="11" t="s">
        <v>71</v>
      </c>
      <c r="B20" s="12" t="n">
        <f aca="false">SUMPRODUCT(ISNUMBER(SEARCH($A20,'Main Program'!$C$5:$C$52))*'Main Program'!$E$5:$E$52)</f>
        <v>6</v>
      </c>
      <c r="C20" s="12" t="n">
        <f aca="false">SUMPRODUCT(ISNUMBER(SEARCH($A20,'Main Program'!$C$5:$C$52))*'Main Program'!$F$5:$F$52)</f>
        <v>6</v>
      </c>
      <c r="D20" s="13" t="s">
        <v>56</v>
      </c>
      <c r="E20" s="13" t="str">
        <f aca="false">IF(AND(B20&gt;=10,B20&lt;=20),"Within 10-20",IF(B20&lt;10,"Below range","Above range"))</f>
        <v>Below range</v>
      </c>
      <c r="F20" s="13" t="str">
        <f aca="false">IF(AND(C20&gt;=10,C20&lt;=20),"Within 10-20",IF(C20&lt;10,"Below range","Above range"))</f>
        <v>Below range</v>
      </c>
    </row>
    <row r="21" customFormat="false" ht="15" hidden="false" customHeight="true" outlineLevel="0" collapsed="false">
      <c r="A21" s="11" t="s">
        <v>72</v>
      </c>
      <c r="B21" s="12" t="n">
        <f aca="false">SUMPRODUCT(ISNUMBER(SEARCH($A21,'Main Program'!$C$5:$C$52))*'Main Program'!$E$5:$E$52)</f>
        <v>0</v>
      </c>
      <c r="C21" s="12" t="n">
        <f aca="false">SUMPRODUCT(ISNUMBER(SEARCH($A21,'Main Program'!$C$5:$C$52))*'Main Program'!$F$5:$F$52)</f>
        <v>0</v>
      </c>
      <c r="D21" s="13" t="s">
        <v>56</v>
      </c>
      <c r="E21" s="13" t="str">
        <f aca="false">IF(AND(B21&gt;=10,B21&lt;=20),"Within 10-20",IF(B21&lt;10,"Below range","Above range"))</f>
        <v>Below range</v>
      </c>
      <c r="F21" s="13" t="str">
        <f aca="false">IF(AND(C21&gt;=10,C21&lt;=20),"Within 10-20",IF(C21&lt;10,"Below range","Above range"))</f>
        <v>Below range</v>
      </c>
    </row>
    <row r="23" customFormat="false" ht="15" hidden="false" customHeight="true" outlineLevel="0" collapsed="false">
      <c r="A23" s="10" t="s">
        <v>73</v>
      </c>
    </row>
  </sheetData>
  <conditionalFormatting sqref="B5:B21">
    <cfRule type="expression" priority="2" aboveAverage="0" equalAverage="0" bottom="0" percent="0" rank="0" text="" dxfId="0">
      <formula>$B5&lt;5</formula>
    </cfRule>
    <cfRule type="expression" priority="3" aboveAverage="0" equalAverage="0" bottom="0" percent="0" rank="0" text="" dxfId="1">
      <formula>AND($B5&gt;=5,$B5&lt;8)</formula>
    </cfRule>
    <cfRule type="expression" priority="4" aboveAverage="0" equalAverage="0" bottom="0" percent="0" rank="0" text="" dxfId="2">
      <formula>AND($B5&gt;=8,$B5&lt;10)</formula>
    </cfRule>
    <cfRule type="expression" priority="5" aboveAverage="0" equalAverage="0" bottom="0" percent="0" rank="0" text="" dxfId="3">
      <formula>AND($B5&gt;=10,$B5&lt;=20)</formula>
    </cfRule>
    <cfRule type="expression" priority="6" aboveAverage="0" equalAverage="0" bottom="0" percent="0" rank="0" text="" dxfId="4">
      <formula>AND($B5&gt;20,$B5&lt;=23)</formula>
    </cfRule>
    <cfRule type="expression" priority="7" aboveAverage="0" equalAverage="0" bottom="0" percent="0" rank="0" text="" dxfId="5">
      <formula>AND($B5&gt;23,$B5&lt;=27)</formula>
    </cfRule>
    <cfRule type="expression" priority="8" aboveAverage="0" equalAverage="0" bottom="0" percent="0" rank="0" text="" dxfId="6">
      <formula>$B5&gt;27</formula>
    </cfRule>
  </conditionalFormatting>
  <conditionalFormatting sqref="C5:C21">
    <cfRule type="expression" priority="9" aboveAverage="0" equalAverage="0" bottom="0" percent="0" rank="0" text="" dxfId="0">
      <formula>$C5&lt;5</formula>
    </cfRule>
    <cfRule type="expression" priority="10" aboveAverage="0" equalAverage="0" bottom="0" percent="0" rank="0" text="" dxfId="1">
      <formula>AND($C5&gt;=5,$C5&lt;8)</formula>
    </cfRule>
    <cfRule type="expression" priority="11" aboveAverage="0" equalAverage="0" bottom="0" percent="0" rank="0" text="" dxfId="2">
      <formula>AND($C5&gt;=8,$C5&lt;10)</formula>
    </cfRule>
    <cfRule type="expression" priority="12" aboveAverage="0" equalAverage="0" bottom="0" percent="0" rank="0" text="" dxfId="3">
      <formula>AND($C5&gt;=10,$C5&lt;=20)</formula>
    </cfRule>
    <cfRule type="expression" priority="13" aboveAverage="0" equalAverage="0" bottom="0" percent="0" rank="0" text="" dxfId="4">
      <formula>AND($C5&gt;20,$C5&lt;=23)</formula>
    </cfRule>
    <cfRule type="expression" priority="14" aboveAverage="0" equalAverage="0" bottom="0" percent="0" rank="0" text="" dxfId="5">
      <formula>AND($C5&gt;23,$C5&lt;=27)</formula>
    </cfRule>
    <cfRule type="expression" priority="15" aboveAverage="0" equalAverage="0" bottom="0" percent="0" rank="0" text="" dxfId="6">
      <formula>$C5&gt;27</formula>
    </cfRule>
  </conditionalFormatting>
  <conditionalFormatting sqref="E5:E21">
    <cfRule type="expression" priority="16" aboveAverage="0" equalAverage="0" bottom="0" percent="0" rank="0" text="" dxfId="0">
      <formula>$B5&lt;5</formula>
    </cfRule>
    <cfRule type="expression" priority="17" aboveAverage="0" equalAverage="0" bottom="0" percent="0" rank="0" text="" dxfId="1">
      <formula>AND($B5&gt;=5,$B5&lt;8)</formula>
    </cfRule>
    <cfRule type="expression" priority="18" aboveAverage="0" equalAverage="0" bottom="0" percent="0" rank="0" text="" dxfId="2">
      <formula>AND($B5&gt;=8,$B5&lt;10)</formula>
    </cfRule>
    <cfRule type="expression" priority="19" aboveAverage="0" equalAverage="0" bottom="0" percent="0" rank="0" text="" dxfId="3">
      <formula>AND($B5&gt;=10,$B5&lt;=20)</formula>
    </cfRule>
    <cfRule type="expression" priority="20" aboveAverage="0" equalAverage="0" bottom="0" percent="0" rank="0" text="" dxfId="4">
      <formula>AND($B5&gt;20,$B5&lt;=23)</formula>
    </cfRule>
    <cfRule type="expression" priority="21" aboveAverage="0" equalAverage="0" bottom="0" percent="0" rank="0" text="" dxfId="5">
      <formula>AND($B5&gt;23,$B5&lt;=27)</formula>
    </cfRule>
    <cfRule type="expression" priority="22" aboveAverage="0" equalAverage="0" bottom="0" percent="0" rank="0" text="" dxfId="6">
      <formula>$B5&gt;27</formula>
    </cfRule>
  </conditionalFormatting>
  <conditionalFormatting sqref="F5:F21">
    <cfRule type="expression" priority="23" aboveAverage="0" equalAverage="0" bottom="0" percent="0" rank="0" text="" dxfId="0">
      <formula>$C5&lt;5</formula>
    </cfRule>
    <cfRule type="expression" priority="24" aboveAverage="0" equalAverage="0" bottom="0" percent="0" rank="0" text="" dxfId="1">
      <formula>AND($C5&gt;=5,$C5&lt;8)</formula>
    </cfRule>
    <cfRule type="expression" priority="25" aboveAverage="0" equalAverage="0" bottom="0" percent="0" rank="0" text="" dxfId="2">
      <formula>AND($C5&gt;=8,$C5&lt;10)</formula>
    </cfRule>
    <cfRule type="expression" priority="26" aboveAverage="0" equalAverage="0" bottom="0" percent="0" rank="0" text="" dxfId="3">
      <formula>AND($C5&gt;=10,$C5&lt;=20)</formula>
    </cfRule>
    <cfRule type="expression" priority="27" aboveAverage="0" equalAverage="0" bottom="0" percent="0" rank="0" text="" dxfId="4">
      <formula>AND($C5&gt;20,$C5&lt;=23)</formula>
    </cfRule>
    <cfRule type="expression" priority="28" aboveAverage="0" equalAverage="0" bottom="0" percent="0" rank="0" text="" dxfId="5">
      <formula>AND($C5&gt;23,$C5&lt;=27)</formula>
    </cfRule>
    <cfRule type="expression" priority="29" aboveAverage="0" equalAverage="0" bottom="0" percent="0" rank="0" text="" dxfId="6">
      <formula>$C5&gt;27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 min="2" style="1" width="12"/>
    <col collapsed="false" customWidth="true" hidden="false" outlineLevel="0" max="6" min="4" style="1" width="16"/>
  </cols>
  <sheetData>
    <row r="1" customFormat="false" ht="15.75" hidden="false" customHeight="true" outlineLevel="0" collapsed="false">
      <c r="A1" s="9" t="s">
        <v>74</v>
      </c>
    </row>
    <row r="2" customFormat="false" ht="15" hidden="false" customHeight="true" outlineLevel="0" collapsed="false">
      <c r="A2" s="10" t="s">
        <v>75</v>
      </c>
    </row>
    <row r="4" customFormat="false" ht="15" hidden="false" customHeight="true" outlineLevel="0" collapsed="false">
      <c r="A4" s="4" t="s">
        <v>49</v>
      </c>
      <c r="B4" s="4" t="s">
        <v>50</v>
      </c>
      <c r="C4" s="4" t="s">
        <v>51</v>
      </c>
      <c r="D4" s="4" t="s">
        <v>52</v>
      </c>
      <c r="E4" s="4" t="s">
        <v>53</v>
      </c>
      <c r="F4" s="4" t="s">
        <v>54</v>
      </c>
    </row>
    <row r="5" customFormat="false" ht="15" hidden="false" customHeight="true" outlineLevel="0" collapsed="false">
      <c r="A5" s="11" t="s">
        <v>55</v>
      </c>
      <c r="B5" s="12" t="n">
        <f aca="false">SUMPRODUCT(ISNUMBER(SEARCH($A5,'Main Program'!$C$5:$C$52))*'Main Program'!$E$5:$E$52)+0.5*SUMPRODUCT(ISNUMBER(SEARCH($A5,'Main Program'!$D$5:$D$52))*'Main Program'!$E$5:$E$52)</f>
        <v>10</v>
      </c>
      <c r="C5" s="12" t="n">
        <f aca="false">SUMPRODUCT(ISNUMBER(SEARCH($A5,'Main Program'!$C$5:$C$52))*'Main Program'!$F$5:$F$52)+0.5*SUMPRODUCT(ISNUMBER(SEARCH($A5,'Main Program'!$D$5:$D$52))*'Main Program'!$F$5:$F$52)</f>
        <v>10</v>
      </c>
      <c r="D5" s="13" t="s">
        <v>56</v>
      </c>
      <c r="E5" s="13" t="str">
        <f aca="false">IF(AND(B5&gt;=10,B5&lt;=20),"Within 10-20",IF(B5&lt;10,"Below range","Above range"))</f>
        <v>Within 10-20</v>
      </c>
      <c r="F5" s="13" t="str">
        <f aca="false">IF(AND(C5&gt;=10,C5&lt;=20),"Within 10-20",IF(C5&lt;10,"Below range","Above range"))</f>
        <v>Within 10-20</v>
      </c>
    </row>
    <row r="6" customFormat="false" ht="15" hidden="false" customHeight="true" outlineLevel="0" collapsed="false">
      <c r="A6" s="11" t="s">
        <v>57</v>
      </c>
      <c r="B6" s="12" t="n">
        <f aca="false">SUMPRODUCT(ISNUMBER(SEARCH($A6,'Main Program'!$C$5:$C$52))*'Main Program'!$E$5:$E$52)+0.5*SUMPRODUCT(ISNUMBER(SEARCH($A6,'Main Program'!$D$5:$D$52))*'Main Program'!$E$5:$E$52)</f>
        <v>11</v>
      </c>
      <c r="C6" s="12" t="n">
        <f aca="false">SUMPRODUCT(ISNUMBER(SEARCH($A6,'Main Program'!$C$5:$C$52))*'Main Program'!$F$5:$F$52)+0.5*SUMPRODUCT(ISNUMBER(SEARCH($A6,'Main Program'!$D$5:$D$52))*'Main Program'!$F$5:$F$52)</f>
        <v>11</v>
      </c>
      <c r="D6" s="13" t="s">
        <v>56</v>
      </c>
      <c r="E6" s="13" t="str">
        <f aca="false">IF(AND(B6&gt;=10,B6&lt;=20),"Within 10-20",IF(B6&lt;10,"Below range","Above range"))</f>
        <v>Within 10-20</v>
      </c>
      <c r="F6" s="13" t="str">
        <f aca="false">IF(AND(C6&gt;=10,C6&lt;=20),"Within 10-20",IF(C6&lt;10,"Below range","Above range"))</f>
        <v>Within 10-20</v>
      </c>
    </row>
    <row r="7" customFormat="false" ht="15" hidden="false" customHeight="true" outlineLevel="0" collapsed="false">
      <c r="A7" s="11" t="s">
        <v>58</v>
      </c>
      <c r="B7" s="12" t="n">
        <f aca="false">SUMPRODUCT(ISNUMBER(SEARCH($A7,'Main Program'!$C$5:$C$52))*'Main Program'!$E$5:$E$52)+0.5*SUMPRODUCT(ISNUMBER(SEARCH($A7,'Main Program'!$D$5:$D$52))*'Main Program'!$E$5:$E$52)</f>
        <v>11.5</v>
      </c>
      <c r="C7" s="12" t="n">
        <f aca="false">SUMPRODUCT(ISNUMBER(SEARCH($A7,'Main Program'!$C$5:$C$52))*'Main Program'!$F$5:$F$52)+0.5*SUMPRODUCT(ISNUMBER(SEARCH($A7,'Main Program'!$D$5:$D$52))*'Main Program'!$F$5:$F$52)</f>
        <v>11.5</v>
      </c>
      <c r="D7" s="13" t="s">
        <v>56</v>
      </c>
      <c r="E7" s="13" t="str">
        <f aca="false">IF(AND(B7&gt;=10,B7&lt;=20),"Within 10-20",IF(B7&lt;10,"Below range","Above range"))</f>
        <v>Within 10-20</v>
      </c>
      <c r="F7" s="13" t="str">
        <f aca="false">IF(AND(C7&gt;=10,C7&lt;=20),"Within 10-20",IF(C7&lt;10,"Below range","Above range"))</f>
        <v>Within 10-20</v>
      </c>
    </row>
    <row r="8" customFormat="false" ht="15" hidden="false" customHeight="true" outlineLevel="0" collapsed="false">
      <c r="A8" s="11" t="s">
        <v>59</v>
      </c>
      <c r="B8" s="12" t="n">
        <f aca="false">SUMPRODUCT(ISNUMBER(SEARCH($A8,'Main Program'!$C$5:$C$52))*'Main Program'!$E$5:$E$52)+0.5*SUMPRODUCT(ISNUMBER(SEARCH($A8,'Main Program'!$D$5:$D$52))*'Main Program'!$E$5:$E$52)</f>
        <v>9</v>
      </c>
      <c r="C8" s="12" t="n">
        <f aca="false">SUMPRODUCT(ISNUMBER(SEARCH($A8,'Main Program'!$C$5:$C$52))*'Main Program'!$F$5:$F$52)+0.5*SUMPRODUCT(ISNUMBER(SEARCH($A8,'Main Program'!$D$5:$D$52))*'Main Program'!$F$5:$F$52)</f>
        <v>9</v>
      </c>
      <c r="D8" s="13" t="s">
        <v>56</v>
      </c>
      <c r="E8" s="13" t="str">
        <f aca="false">IF(AND(B8&gt;=10,B8&lt;=20),"Within 10-20",IF(B8&lt;10,"Below range","Above range"))</f>
        <v>Below range</v>
      </c>
      <c r="F8" s="13" t="str">
        <f aca="false">IF(AND(C8&gt;=10,C8&lt;=20),"Within 10-20",IF(C8&lt;10,"Below range","Above range"))</f>
        <v>Below range</v>
      </c>
    </row>
    <row r="9" customFormat="false" ht="15" hidden="false" customHeight="true" outlineLevel="0" collapsed="false">
      <c r="A9" s="11" t="s">
        <v>60</v>
      </c>
      <c r="B9" s="12" t="n">
        <f aca="false">SUMPRODUCT(ISNUMBER(SEARCH($A9,'Main Program'!$C$5:$C$52))*'Main Program'!$E$5:$E$52)+0.5*SUMPRODUCT(ISNUMBER(SEARCH($A9,'Main Program'!$D$5:$D$52))*'Main Program'!$E$5:$E$52)</f>
        <v>19</v>
      </c>
      <c r="C9" s="12" t="n">
        <f aca="false">SUMPRODUCT(ISNUMBER(SEARCH($A9,'Main Program'!$C$5:$C$52))*'Main Program'!$F$5:$F$52)+0.5*SUMPRODUCT(ISNUMBER(SEARCH($A9,'Main Program'!$D$5:$D$52))*'Main Program'!$F$5:$F$52)</f>
        <v>19</v>
      </c>
      <c r="D9" s="13" t="s">
        <v>56</v>
      </c>
      <c r="E9" s="13" t="str">
        <f aca="false">IF(AND(B9&gt;=10,B9&lt;=20),"Within 10-20",IF(B9&lt;10,"Below range","Above range"))</f>
        <v>Within 10-20</v>
      </c>
      <c r="F9" s="13" t="str">
        <f aca="false">IF(AND(C9&gt;=10,C9&lt;=20),"Within 10-20",IF(C9&lt;10,"Below range","Above range"))</f>
        <v>Within 10-20</v>
      </c>
    </row>
    <row r="10" customFormat="false" ht="15" hidden="false" customHeight="true" outlineLevel="0" collapsed="false">
      <c r="A10" s="11" t="s">
        <v>61</v>
      </c>
      <c r="B10" s="12" t="n">
        <f aca="false">SUMPRODUCT(ISNUMBER(SEARCH($A10,'Main Program'!$C$5:$C$52))*'Main Program'!$E$5:$E$52)+0.5*SUMPRODUCT(ISNUMBER(SEARCH($A10,'Main Program'!$D$5:$D$52))*'Main Program'!$E$5:$E$52)</f>
        <v>18.5</v>
      </c>
      <c r="C10" s="12" t="n">
        <f aca="false">SUMPRODUCT(ISNUMBER(SEARCH($A10,'Main Program'!$C$5:$C$52))*'Main Program'!$F$5:$F$52)+0.5*SUMPRODUCT(ISNUMBER(SEARCH($A10,'Main Program'!$D$5:$D$52))*'Main Program'!$F$5:$F$52)</f>
        <v>18.5</v>
      </c>
      <c r="D10" s="13" t="s">
        <v>56</v>
      </c>
      <c r="E10" s="13" t="str">
        <f aca="false">IF(AND(B10&gt;=10,B10&lt;=20),"Within 10-20",IF(B10&lt;10,"Below range","Above range"))</f>
        <v>Within 10-20</v>
      </c>
      <c r="F10" s="13" t="str">
        <f aca="false">IF(AND(C10&gt;=10,C10&lt;=20),"Within 10-20",IF(C10&lt;10,"Below range","Above range"))</f>
        <v>Within 10-20</v>
      </c>
    </row>
    <row r="11" customFormat="false" ht="15" hidden="false" customHeight="true" outlineLevel="0" collapsed="false">
      <c r="A11" s="11" t="s">
        <v>62</v>
      </c>
      <c r="B11" s="12" t="n">
        <f aca="false">SUMPRODUCT(ISNUMBER(SEARCH($A11,'Main Program'!$C$5:$C$52))*'Main Program'!$E$5:$E$52)+0.5*SUMPRODUCT(ISNUMBER(SEARCH($A11,'Main Program'!$D$5:$D$52))*'Main Program'!$E$5:$E$52)</f>
        <v>13.5</v>
      </c>
      <c r="C11" s="12" t="n">
        <f aca="false">SUMPRODUCT(ISNUMBER(SEARCH($A11,'Main Program'!$C$5:$C$52))*'Main Program'!$F$5:$F$52)+0.5*SUMPRODUCT(ISNUMBER(SEARCH($A11,'Main Program'!$D$5:$D$52))*'Main Program'!$F$5:$F$52)</f>
        <v>13.5</v>
      </c>
      <c r="D11" s="13" t="s">
        <v>56</v>
      </c>
      <c r="E11" s="13" t="str">
        <f aca="false">IF(AND(B11&gt;=10,B11&lt;=20),"Within 10-20",IF(B11&lt;10,"Below range","Above range"))</f>
        <v>Within 10-20</v>
      </c>
      <c r="F11" s="13" t="str">
        <f aca="false">IF(AND(C11&gt;=10,C11&lt;=20),"Within 10-20",IF(C11&lt;10,"Below range","Above range"))</f>
        <v>Within 10-20</v>
      </c>
    </row>
    <row r="12" customFormat="false" ht="15" hidden="false" customHeight="true" outlineLevel="0" collapsed="false">
      <c r="A12" s="11" t="s">
        <v>63</v>
      </c>
      <c r="B12" s="12" t="n">
        <f aca="false">SUMPRODUCT(ISNUMBER(SEARCH($A12,'Main Program'!$C$5:$C$52))*'Main Program'!$E$5:$E$52)+0.5*SUMPRODUCT(ISNUMBER(SEARCH($A12,'Main Program'!$D$5:$D$52))*'Main Program'!$E$5:$E$52)</f>
        <v>3.5</v>
      </c>
      <c r="C12" s="12" t="n">
        <f aca="false">SUMPRODUCT(ISNUMBER(SEARCH($A12,'Main Program'!$C$5:$C$52))*'Main Program'!$F$5:$F$52)+0.5*SUMPRODUCT(ISNUMBER(SEARCH($A12,'Main Program'!$D$5:$D$52))*'Main Program'!$F$5:$F$52)</f>
        <v>3.5</v>
      </c>
      <c r="D12" s="13" t="s">
        <v>56</v>
      </c>
      <c r="E12" s="13" t="str">
        <f aca="false">IF(AND(B12&gt;=10,B12&lt;=20),"Within 10-20",IF(B12&lt;10,"Below range","Above range"))</f>
        <v>Below range</v>
      </c>
      <c r="F12" s="13" t="str">
        <f aca="false">IF(AND(C12&gt;=10,C12&lt;=20),"Within 10-20",IF(C12&lt;10,"Below range","Above range"))</f>
        <v>Below range</v>
      </c>
    </row>
    <row r="13" customFormat="false" ht="15" hidden="false" customHeight="true" outlineLevel="0" collapsed="false">
      <c r="A13" s="11" t="s">
        <v>64</v>
      </c>
      <c r="B13" s="12" t="n">
        <f aca="false">SUMPRODUCT(ISNUMBER(SEARCH($A13,'Main Program'!$C$5:$C$52))*'Main Program'!$E$5:$E$52)+0.5*SUMPRODUCT(ISNUMBER(SEARCH($A13,'Main Program'!$D$5:$D$52))*'Main Program'!$E$5:$E$52)</f>
        <v>10</v>
      </c>
      <c r="C13" s="12" t="n">
        <f aca="false">SUMPRODUCT(ISNUMBER(SEARCH($A13,'Main Program'!$C$5:$C$52))*'Main Program'!$F$5:$F$52)+0.5*SUMPRODUCT(ISNUMBER(SEARCH($A13,'Main Program'!$D$5:$D$52))*'Main Program'!$F$5:$F$52)</f>
        <v>10</v>
      </c>
      <c r="D13" s="13" t="s">
        <v>56</v>
      </c>
      <c r="E13" s="13" t="str">
        <f aca="false">IF(AND(B13&gt;=10,B13&lt;=20),"Within 10-20",IF(B13&lt;10,"Below range","Above range"))</f>
        <v>Within 10-20</v>
      </c>
      <c r="F13" s="13" t="str">
        <f aca="false">IF(AND(C13&gt;=10,C13&lt;=20),"Within 10-20",IF(C13&lt;10,"Below range","Above range"))</f>
        <v>Within 10-20</v>
      </c>
    </row>
    <row r="14" customFormat="false" ht="15" hidden="false" customHeight="true" outlineLevel="0" collapsed="false">
      <c r="A14" s="11" t="s">
        <v>65</v>
      </c>
      <c r="B14" s="12" t="n">
        <f aca="false">SUMPRODUCT(ISNUMBER(SEARCH($A14,'Main Program'!$C$5:$C$52))*'Main Program'!$E$5:$E$52)+0.5*SUMPRODUCT(ISNUMBER(SEARCH($A14,'Main Program'!$D$5:$D$52))*'Main Program'!$E$5:$E$52)</f>
        <v>21</v>
      </c>
      <c r="C14" s="12" t="n">
        <f aca="false">SUMPRODUCT(ISNUMBER(SEARCH($A14,'Main Program'!$C$5:$C$52))*'Main Program'!$F$5:$F$52)+0.5*SUMPRODUCT(ISNUMBER(SEARCH($A14,'Main Program'!$D$5:$D$52))*'Main Program'!$F$5:$F$52)</f>
        <v>21</v>
      </c>
      <c r="D14" s="13" t="s">
        <v>56</v>
      </c>
      <c r="E14" s="13" t="str">
        <f aca="false">IF(AND(B14&gt;=10,B14&lt;=20),"Within 10-20",IF(B14&lt;10,"Below range","Above range"))</f>
        <v>Above range</v>
      </c>
      <c r="F14" s="13" t="str">
        <f aca="false">IF(AND(C14&gt;=10,C14&lt;=20),"Within 10-20",IF(C14&lt;10,"Below range","Above range"))</f>
        <v>Above range</v>
      </c>
    </row>
    <row r="15" customFormat="false" ht="15" hidden="false" customHeight="true" outlineLevel="0" collapsed="false">
      <c r="A15" s="11" t="s">
        <v>66</v>
      </c>
      <c r="B15" s="12" t="n">
        <f aca="false">SUMPRODUCT(ISNUMBER(SEARCH($A15,'Main Program'!$C$5:$C$52))*'Main Program'!$E$5:$E$52)+0.5*SUMPRODUCT(ISNUMBER(SEARCH($A15,'Main Program'!$D$5:$D$52))*'Main Program'!$E$5:$E$52)</f>
        <v>10</v>
      </c>
      <c r="C15" s="12" t="n">
        <f aca="false">SUMPRODUCT(ISNUMBER(SEARCH($A15,'Main Program'!$C$5:$C$52))*'Main Program'!$F$5:$F$52)+0.5*SUMPRODUCT(ISNUMBER(SEARCH($A15,'Main Program'!$D$5:$D$52))*'Main Program'!$F$5:$F$52)</f>
        <v>10</v>
      </c>
      <c r="D15" s="13" t="s">
        <v>56</v>
      </c>
      <c r="E15" s="13" t="str">
        <f aca="false">IF(AND(B15&gt;=10,B15&lt;=20),"Within 10-20",IF(B15&lt;10,"Below range","Above range"))</f>
        <v>Within 10-20</v>
      </c>
      <c r="F15" s="13" t="str">
        <f aca="false">IF(AND(C15&gt;=10,C15&lt;=20),"Within 10-20",IF(C15&lt;10,"Below range","Above range"))</f>
        <v>Within 10-20</v>
      </c>
    </row>
    <row r="16" customFormat="false" ht="15" hidden="false" customHeight="true" outlineLevel="0" collapsed="false">
      <c r="A16" s="11" t="s">
        <v>67</v>
      </c>
      <c r="B16" s="12" t="n">
        <f aca="false">SUMPRODUCT(ISNUMBER(SEARCH($A16,'Main Program'!$C$5:$C$52))*'Main Program'!$E$5:$E$52)+0.5*SUMPRODUCT(ISNUMBER(SEARCH($A16,'Main Program'!$D$5:$D$52))*'Main Program'!$E$5:$E$52)</f>
        <v>22.5</v>
      </c>
      <c r="C16" s="12" t="n">
        <f aca="false">SUMPRODUCT(ISNUMBER(SEARCH($A16,'Main Program'!$C$5:$C$52))*'Main Program'!$F$5:$F$52)+0.5*SUMPRODUCT(ISNUMBER(SEARCH($A16,'Main Program'!$D$5:$D$52))*'Main Program'!$F$5:$F$52)</f>
        <v>22.5</v>
      </c>
      <c r="D16" s="13" t="s">
        <v>56</v>
      </c>
      <c r="E16" s="13" t="str">
        <f aca="false">IF(AND(B16&gt;=10,B16&lt;=20),"Within 10-20",IF(B16&lt;10,"Below range","Above range"))</f>
        <v>Above range</v>
      </c>
      <c r="F16" s="13" t="str">
        <f aca="false">IF(AND(C16&gt;=10,C16&lt;=20),"Within 10-20",IF(C16&lt;10,"Below range","Above range"))</f>
        <v>Above range</v>
      </c>
    </row>
    <row r="17" customFormat="false" ht="15" hidden="false" customHeight="true" outlineLevel="0" collapsed="false">
      <c r="A17" s="11" t="s">
        <v>68</v>
      </c>
      <c r="B17" s="12" t="n">
        <f aca="false">SUMPRODUCT(ISNUMBER(SEARCH($A17,'Main Program'!$C$5:$C$52))*'Main Program'!$E$5:$E$52)+0.5*SUMPRODUCT(ISNUMBER(SEARCH($A17,'Main Program'!$D$5:$D$52))*'Main Program'!$E$5:$E$52)</f>
        <v>6</v>
      </c>
      <c r="C17" s="12" t="n">
        <f aca="false">SUMPRODUCT(ISNUMBER(SEARCH($A17,'Main Program'!$C$5:$C$52))*'Main Program'!$F$5:$F$52)+0.5*SUMPRODUCT(ISNUMBER(SEARCH($A17,'Main Program'!$D$5:$D$52))*'Main Program'!$F$5:$F$52)</f>
        <v>6</v>
      </c>
      <c r="D17" s="13" t="s">
        <v>56</v>
      </c>
      <c r="E17" s="13" t="str">
        <f aca="false">IF(AND(B17&gt;=10,B17&lt;=20),"Within 10-20",IF(B17&lt;10,"Below range","Above range"))</f>
        <v>Below range</v>
      </c>
      <c r="F17" s="13" t="str">
        <f aca="false">IF(AND(C17&gt;=10,C17&lt;=20),"Within 10-20",IF(C17&lt;10,"Below range","Above range"))</f>
        <v>Below range</v>
      </c>
    </row>
    <row r="18" customFormat="false" ht="15" hidden="false" customHeight="true" outlineLevel="0" collapsed="false">
      <c r="A18" s="11" t="s">
        <v>69</v>
      </c>
      <c r="B18" s="12" t="n">
        <f aca="false">SUMPRODUCT(ISNUMBER(SEARCH($A18,'Main Program'!$C$5:$C$52))*'Main Program'!$E$5:$E$52)+0.5*SUMPRODUCT(ISNUMBER(SEARCH($A18,'Main Program'!$D$5:$D$52))*'Main Program'!$E$5:$E$52)</f>
        <v>6</v>
      </c>
      <c r="C18" s="12" t="n">
        <f aca="false">SUMPRODUCT(ISNUMBER(SEARCH($A18,'Main Program'!$C$5:$C$52))*'Main Program'!$F$5:$F$52)+0.5*SUMPRODUCT(ISNUMBER(SEARCH($A18,'Main Program'!$D$5:$D$52))*'Main Program'!$F$5:$F$52)</f>
        <v>6</v>
      </c>
      <c r="D18" s="13" t="s">
        <v>56</v>
      </c>
      <c r="E18" s="13" t="str">
        <f aca="false">IF(AND(B18&gt;=10,B18&lt;=20),"Within 10-20",IF(B18&lt;10,"Below range","Above range"))</f>
        <v>Below range</v>
      </c>
      <c r="F18" s="13" t="str">
        <f aca="false">IF(AND(C18&gt;=10,C18&lt;=20),"Within 10-20",IF(C18&lt;10,"Below range","Above range"))</f>
        <v>Below range</v>
      </c>
    </row>
    <row r="19" customFormat="false" ht="15" hidden="false" customHeight="true" outlineLevel="0" collapsed="false">
      <c r="A19" s="11" t="s">
        <v>70</v>
      </c>
      <c r="B19" s="12" t="n">
        <f aca="false">SUMPRODUCT(ISNUMBER(SEARCH($A19,'Main Program'!$C$5:$C$52))*'Main Program'!$E$5:$E$52)+0.5*SUMPRODUCT(ISNUMBER(SEARCH($A19,'Main Program'!$D$5:$D$52))*'Main Program'!$E$5:$E$52)</f>
        <v>11.5</v>
      </c>
      <c r="C19" s="12" t="n">
        <f aca="false">SUMPRODUCT(ISNUMBER(SEARCH($A19,'Main Program'!$C$5:$C$52))*'Main Program'!$F$5:$F$52)+0.5*SUMPRODUCT(ISNUMBER(SEARCH($A19,'Main Program'!$D$5:$D$52))*'Main Program'!$F$5:$F$52)</f>
        <v>11.5</v>
      </c>
      <c r="D19" s="13" t="s">
        <v>56</v>
      </c>
      <c r="E19" s="13" t="str">
        <f aca="false">IF(AND(B19&gt;=10,B19&lt;=20),"Within 10-20",IF(B19&lt;10,"Below range","Above range"))</f>
        <v>Within 10-20</v>
      </c>
      <c r="F19" s="13" t="str">
        <f aca="false">IF(AND(C19&gt;=10,C19&lt;=20),"Within 10-20",IF(C19&lt;10,"Below range","Above range"))</f>
        <v>Within 10-20</v>
      </c>
    </row>
    <row r="20" customFormat="false" ht="15" hidden="false" customHeight="true" outlineLevel="0" collapsed="false">
      <c r="A20" s="11" t="s">
        <v>71</v>
      </c>
      <c r="B20" s="12" t="n">
        <f aca="false">SUMPRODUCT(ISNUMBER(SEARCH($A20,'Main Program'!$C$5:$C$52))*'Main Program'!$E$5:$E$52)+0.5*SUMPRODUCT(ISNUMBER(SEARCH($A20,'Main Program'!$D$5:$D$52))*'Main Program'!$E$5:$E$52)</f>
        <v>7.5</v>
      </c>
      <c r="C20" s="12" t="n">
        <f aca="false">SUMPRODUCT(ISNUMBER(SEARCH($A20,'Main Program'!$C$5:$C$52))*'Main Program'!$F$5:$F$52)+0.5*SUMPRODUCT(ISNUMBER(SEARCH($A20,'Main Program'!$D$5:$D$52))*'Main Program'!$F$5:$F$52)</f>
        <v>7.5</v>
      </c>
      <c r="D20" s="13" t="s">
        <v>56</v>
      </c>
      <c r="E20" s="13" t="str">
        <f aca="false">IF(AND(B20&gt;=10,B20&lt;=20),"Within 10-20",IF(B20&lt;10,"Below range","Above range"))</f>
        <v>Below range</v>
      </c>
      <c r="F20" s="13" t="str">
        <f aca="false">IF(AND(C20&gt;=10,C20&lt;=20),"Within 10-20",IF(C20&lt;10,"Below range","Above range"))</f>
        <v>Below range</v>
      </c>
    </row>
    <row r="21" customFormat="false" ht="15" hidden="false" customHeight="true" outlineLevel="0" collapsed="false">
      <c r="A21" s="11" t="s">
        <v>72</v>
      </c>
      <c r="B21" s="12" t="n">
        <f aca="false">SUMPRODUCT(ISNUMBER(SEARCH($A21,'Main Program'!$C$5:$C$52))*'Main Program'!$E$5:$E$52)+0.5*SUMPRODUCT(ISNUMBER(SEARCH($A21,'Main Program'!$D$5:$D$52))*'Main Program'!$E$5:$E$52)</f>
        <v>0</v>
      </c>
      <c r="C21" s="12" t="n">
        <f aca="false">SUMPRODUCT(ISNUMBER(SEARCH($A21,'Main Program'!$C$5:$C$52))*'Main Program'!$F$5:$F$52)+0.5*SUMPRODUCT(ISNUMBER(SEARCH($A21,'Main Program'!$D$5:$D$52))*'Main Program'!$F$5:$F$52)</f>
        <v>0</v>
      </c>
      <c r="D21" s="13" t="s">
        <v>56</v>
      </c>
      <c r="E21" s="13" t="str">
        <f aca="false">IF(AND(B21&gt;=10,B21&lt;=20),"Within 10-20",IF(B21&lt;10,"Below range","Above range"))</f>
        <v>Below range</v>
      </c>
      <c r="F21" s="13" t="str">
        <f aca="false">IF(AND(C21&gt;=10,C21&lt;=20),"Within 10-20",IF(C21&lt;10,"Below range","Above range"))</f>
        <v>Below range</v>
      </c>
    </row>
    <row r="23" customFormat="false" ht="15" hidden="false" customHeight="true" outlineLevel="0" collapsed="false">
      <c r="A23" s="10" t="s">
        <v>76</v>
      </c>
    </row>
  </sheetData>
  <conditionalFormatting sqref="B5:B21">
    <cfRule type="expression" priority="2" aboveAverage="0" equalAverage="0" bottom="0" percent="0" rank="0" text="" dxfId="0">
      <formula>$B5&lt;5</formula>
    </cfRule>
    <cfRule type="expression" priority="3" aboveAverage="0" equalAverage="0" bottom="0" percent="0" rank="0" text="" dxfId="1">
      <formula>AND($B5&gt;=5,$B5&lt;8)</formula>
    </cfRule>
    <cfRule type="expression" priority="4" aboveAverage="0" equalAverage="0" bottom="0" percent="0" rank="0" text="" dxfId="2">
      <formula>AND($B5&gt;=8,$B5&lt;10)</formula>
    </cfRule>
    <cfRule type="expression" priority="5" aboveAverage="0" equalAverage="0" bottom="0" percent="0" rank="0" text="" dxfId="3">
      <formula>AND($B5&gt;=10,$B5&lt;=20)</formula>
    </cfRule>
    <cfRule type="expression" priority="6" aboveAverage="0" equalAverage="0" bottom="0" percent="0" rank="0" text="" dxfId="4">
      <formula>AND($B5&gt;20,$B5&lt;=23)</formula>
    </cfRule>
    <cfRule type="expression" priority="7" aboveAverage="0" equalAverage="0" bottom="0" percent="0" rank="0" text="" dxfId="5">
      <formula>AND($B5&gt;23,$B5&lt;=27)</formula>
    </cfRule>
    <cfRule type="expression" priority="8" aboveAverage="0" equalAverage="0" bottom="0" percent="0" rank="0" text="" dxfId="6">
      <formula>$B5&gt;27</formula>
    </cfRule>
  </conditionalFormatting>
  <conditionalFormatting sqref="C5:C21">
    <cfRule type="expression" priority="9" aboveAverage="0" equalAverage="0" bottom="0" percent="0" rank="0" text="" dxfId="0">
      <formula>$C5&lt;5</formula>
    </cfRule>
    <cfRule type="expression" priority="10" aboveAverage="0" equalAverage="0" bottom="0" percent="0" rank="0" text="" dxfId="1">
      <formula>AND($C5&gt;=5,$C5&lt;8)</formula>
    </cfRule>
    <cfRule type="expression" priority="11" aboveAverage="0" equalAverage="0" bottom="0" percent="0" rank="0" text="" dxfId="2">
      <formula>AND($C5&gt;=8,$C5&lt;10)</formula>
    </cfRule>
    <cfRule type="expression" priority="12" aboveAverage="0" equalAverage="0" bottom="0" percent="0" rank="0" text="" dxfId="3">
      <formula>AND($C5&gt;=10,$C5&lt;=20)</formula>
    </cfRule>
    <cfRule type="expression" priority="13" aboveAverage="0" equalAverage="0" bottom="0" percent="0" rank="0" text="" dxfId="4">
      <formula>AND($C5&gt;20,$C5&lt;=23)</formula>
    </cfRule>
    <cfRule type="expression" priority="14" aboveAverage="0" equalAverage="0" bottom="0" percent="0" rank="0" text="" dxfId="5">
      <formula>AND($C5&gt;23,$C5&lt;=27)</formula>
    </cfRule>
    <cfRule type="expression" priority="15" aboveAverage="0" equalAverage="0" bottom="0" percent="0" rank="0" text="" dxfId="6">
      <formula>$C5&gt;27</formula>
    </cfRule>
  </conditionalFormatting>
  <conditionalFormatting sqref="E5:E21">
    <cfRule type="expression" priority="16" aboveAverage="0" equalAverage="0" bottom="0" percent="0" rank="0" text="" dxfId="0">
      <formula>$B5&lt;5</formula>
    </cfRule>
    <cfRule type="expression" priority="17" aboveAverage="0" equalAverage="0" bottom="0" percent="0" rank="0" text="" dxfId="1">
      <formula>AND($B5&gt;=5,$B5&lt;8)</formula>
    </cfRule>
    <cfRule type="expression" priority="18" aboveAverage="0" equalAverage="0" bottom="0" percent="0" rank="0" text="" dxfId="2">
      <formula>AND($B5&gt;=8,$B5&lt;10)</formula>
    </cfRule>
    <cfRule type="expression" priority="19" aboveAverage="0" equalAverage="0" bottom="0" percent="0" rank="0" text="" dxfId="3">
      <formula>AND($B5&gt;=10,$B5&lt;=20)</formula>
    </cfRule>
    <cfRule type="expression" priority="20" aboveAverage="0" equalAverage="0" bottom="0" percent="0" rank="0" text="" dxfId="4">
      <formula>AND($B5&gt;20,$B5&lt;=23)</formula>
    </cfRule>
    <cfRule type="expression" priority="21" aboveAverage="0" equalAverage="0" bottom="0" percent="0" rank="0" text="" dxfId="5">
      <formula>AND($B5&gt;23,$B5&lt;=27)</formula>
    </cfRule>
    <cfRule type="expression" priority="22" aboveAverage="0" equalAverage="0" bottom="0" percent="0" rank="0" text="" dxfId="6">
      <formula>$B5&gt;27</formula>
    </cfRule>
  </conditionalFormatting>
  <conditionalFormatting sqref="F5:F21">
    <cfRule type="expression" priority="23" aboveAverage="0" equalAverage="0" bottom="0" percent="0" rank="0" text="" dxfId="0">
      <formula>$C5&lt;5</formula>
    </cfRule>
    <cfRule type="expression" priority="24" aboveAverage="0" equalAverage="0" bottom="0" percent="0" rank="0" text="" dxfId="1">
      <formula>AND($C5&gt;=5,$C5&lt;8)</formula>
    </cfRule>
    <cfRule type="expression" priority="25" aboveAverage="0" equalAverage="0" bottom="0" percent="0" rank="0" text="" dxfId="2">
      <formula>AND($C5&gt;=8,$C5&lt;10)</formula>
    </cfRule>
    <cfRule type="expression" priority="26" aboveAverage="0" equalAverage="0" bottom="0" percent="0" rank="0" text="" dxfId="3">
      <formula>AND($C5&gt;=10,$C5&lt;=20)</formula>
    </cfRule>
    <cfRule type="expression" priority="27" aboveAverage="0" equalAverage="0" bottom="0" percent="0" rank="0" text="" dxfId="4">
      <formula>AND($C5&gt;20,$C5&lt;=23)</formula>
    </cfRule>
    <cfRule type="expression" priority="28" aboveAverage="0" equalAverage="0" bottom="0" percent="0" rank="0" text="" dxfId="5">
      <formula>AND($C5&gt;23,$C5&lt;=27)</formula>
    </cfRule>
    <cfRule type="expression" priority="29" aboveAverage="0" equalAverage="0" bottom="0" percent="0" rank="0" text="" dxfId="6">
      <formula>$C5&gt;27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79"/>
  <sheetViews>
    <sheetView showFormulas="false" showGridLines="true" showRowColHeaders="true" showZeros="true" rightToLeft="false" tabSelected="true" showOutlineSymbols="true" defaultGridColor="true" view="normal" topLeftCell="A863"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30"/>
    <col collapsed="false" customWidth="true" hidden="false" outlineLevel="0" max="3" min="3" style="1" width="40"/>
  </cols>
  <sheetData>
    <row r="1" customFormat="false" ht="15" hidden="false" customHeight="true" outlineLevel="0" collapsed="false">
      <c r="A1" s="14" t="s">
        <v>77</v>
      </c>
      <c r="B1" s="14" t="s">
        <v>4</v>
      </c>
      <c r="C1" s="14" t="s">
        <v>5</v>
      </c>
    </row>
    <row r="2" customFormat="false" ht="15" hidden="false" customHeight="true" outlineLevel="0" collapsed="false">
      <c r="A2" s="1" t="s">
        <v>78</v>
      </c>
      <c r="B2" s="1" t="s">
        <v>79</v>
      </c>
      <c r="C2" s="1" t="s">
        <v>80</v>
      </c>
    </row>
    <row r="3" customFormat="false" ht="15" hidden="false" customHeight="true" outlineLevel="0" collapsed="false">
      <c r="A3" s="1" t="s">
        <v>81</v>
      </c>
      <c r="B3" s="1" t="s">
        <v>82</v>
      </c>
      <c r="C3" s="1" t="s">
        <v>83</v>
      </c>
    </row>
    <row r="4" customFormat="false" ht="15" hidden="false" customHeight="true" outlineLevel="0" collapsed="false">
      <c r="A4" s="1" t="s">
        <v>21</v>
      </c>
      <c r="B4" s="1" t="s">
        <v>79</v>
      </c>
      <c r="C4" s="1" t="s">
        <v>80</v>
      </c>
    </row>
    <row r="5" customFormat="false" ht="15" hidden="false" customHeight="true" outlineLevel="0" collapsed="false">
      <c r="A5" s="1" t="s">
        <v>84</v>
      </c>
      <c r="B5" s="1" t="s">
        <v>79</v>
      </c>
      <c r="C5" s="1" t="s">
        <v>85</v>
      </c>
    </row>
    <row r="6" customFormat="false" ht="15" hidden="false" customHeight="true" outlineLevel="0" collapsed="false">
      <c r="A6" s="1" t="s">
        <v>86</v>
      </c>
      <c r="B6" s="1" t="s">
        <v>87</v>
      </c>
      <c r="C6" s="1" t="s">
        <v>80</v>
      </c>
    </row>
    <row r="7" customFormat="false" ht="15" hidden="false" customHeight="true" outlineLevel="0" collapsed="false">
      <c r="A7" s="1" t="s">
        <v>88</v>
      </c>
      <c r="B7" s="1" t="s">
        <v>87</v>
      </c>
      <c r="C7" s="1" t="s">
        <v>80</v>
      </c>
    </row>
    <row r="8" customFormat="false" ht="15" hidden="false" customHeight="true" outlineLevel="0" collapsed="false">
      <c r="A8" s="1" t="s">
        <v>89</v>
      </c>
      <c r="B8" s="1" t="s">
        <v>79</v>
      </c>
      <c r="C8" s="1" t="s">
        <v>90</v>
      </c>
    </row>
    <row r="9" customFormat="false" ht="15" hidden="false" customHeight="true" outlineLevel="0" collapsed="false">
      <c r="A9" s="1" t="s">
        <v>91</v>
      </c>
      <c r="B9" s="1" t="s">
        <v>79</v>
      </c>
      <c r="C9" s="1" t="s">
        <v>80</v>
      </c>
    </row>
    <row r="10" customFormat="false" ht="15" hidden="false" customHeight="true" outlineLevel="0" collapsed="false">
      <c r="A10" s="1" t="s">
        <v>92</v>
      </c>
      <c r="B10" s="1" t="s">
        <v>93</v>
      </c>
      <c r="C10" s="1" t="s">
        <v>93</v>
      </c>
    </row>
    <row r="11" customFormat="false" ht="15" hidden="false" customHeight="true" outlineLevel="0" collapsed="false">
      <c r="A11" s="1" t="s">
        <v>94</v>
      </c>
      <c r="B11" s="1" t="s">
        <v>95</v>
      </c>
      <c r="C11" s="1" t="s">
        <v>96</v>
      </c>
    </row>
    <row r="12" customFormat="false" ht="15" hidden="false" customHeight="true" outlineLevel="0" collapsed="false">
      <c r="A12" s="1" t="s">
        <v>97</v>
      </c>
      <c r="B12" s="1" t="s">
        <v>79</v>
      </c>
      <c r="C12" s="1" t="s">
        <v>80</v>
      </c>
    </row>
    <row r="13" customFormat="false" ht="15" hidden="false" customHeight="true" outlineLevel="0" collapsed="false">
      <c r="A13" s="1" t="s">
        <v>98</v>
      </c>
      <c r="B13" s="1" t="s">
        <v>95</v>
      </c>
      <c r="C13" s="1" t="s">
        <v>96</v>
      </c>
    </row>
    <row r="14" customFormat="false" ht="15" hidden="false" customHeight="true" outlineLevel="0" collapsed="false">
      <c r="A14" s="1" t="s">
        <v>99</v>
      </c>
      <c r="B14" s="1" t="s">
        <v>93</v>
      </c>
      <c r="C14" s="1" t="s">
        <v>100</v>
      </c>
    </row>
    <row r="15" customFormat="false" ht="15" hidden="false" customHeight="true" outlineLevel="0" collapsed="false">
      <c r="A15" s="1" t="s">
        <v>101</v>
      </c>
      <c r="B15" s="1" t="s">
        <v>85</v>
      </c>
      <c r="C15" s="1" t="s">
        <v>102</v>
      </c>
    </row>
    <row r="16" customFormat="false" ht="15" hidden="false" customHeight="true" outlineLevel="0" collapsed="false">
      <c r="A16" s="1" t="s">
        <v>103</v>
      </c>
      <c r="B16" s="1" t="s">
        <v>85</v>
      </c>
      <c r="C16" s="1" t="s">
        <v>80</v>
      </c>
    </row>
    <row r="17" customFormat="false" ht="15" hidden="false" customHeight="true" outlineLevel="0" collapsed="false">
      <c r="A17" s="1" t="s">
        <v>104</v>
      </c>
      <c r="B17" s="1" t="s">
        <v>105</v>
      </c>
      <c r="C17" s="1" t="s">
        <v>106</v>
      </c>
    </row>
    <row r="18" customFormat="false" ht="15" hidden="false" customHeight="true" outlineLevel="0" collapsed="false">
      <c r="A18" s="1" t="s">
        <v>107</v>
      </c>
      <c r="B18" s="1" t="s">
        <v>82</v>
      </c>
      <c r="C18" s="1" t="s">
        <v>108</v>
      </c>
    </row>
    <row r="19" customFormat="false" ht="15" hidden="false" customHeight="true" outlineLevel="0" collapsed="false">
      <c r="A19" s="1" t="s">
        <v>109</v>
      </c>
      <c r="B19" s="1" t="s">
        <v>85</v>
      </c>
      <c r="C19" s="1" t="s">
        <v>102</v>
      </c>
    </row>
    <row r="20" customFormat="false" ht="15" hidden="false" customHeight="true" outlineLevel="0" collapsed="false">
      <c r="A20" s="1" t="s">
        <v>110</v>
      </c>
      <c r="B20" s="1" t="s">
        <v>111</v>
      </c>
      <c r="C20" s="1" t="s">
        <v>112</v>
      </c>
    </row>
    <row r="21" customFormat="false" ht="15" hidden="false" customHeight="true" outlineLevel="0" collapsed="false">
      <c r="A21" s="1" t="s">
        <v>113</v>
      </c>
      <c r="B21" s="1" t="s">
        <v>111</v>
      </c>
      <c r="C21" s="1" t="s">
        <v>114</v>
      </c>
    </row>
    <row r="22" customFormat="false" ht="15" hidden="false" customHeight="true" outlineLevel="0" collapsed="false">
      <c r="A22" s="1" t="s">
        <v>115</v>
      </c>
      <c r="B22" s="1" t="s">
        <v>83</v>
      </c>
      <c r="C22" s="1" t="s">
        <v>80</v>
      </c>
    </row>
    <row r="23" customFormat="false" ht="15" hidden="false" customHeight="true" outlineLevel="0" collapsed="false">
      <c r="A23" s="1" t="s">
        <v>116</v>
      </c>
      <c r="B23" s="1" t="s">
        <v>117</v>
      </c>
      <c r="C23" s="1" t="s">
        <v>80</v>
      </c>
    </row>
    <row r="24" customFormat="false" ht="15" hidden="false" customHeight="true" outlineLevel="0" collapsed="false">
      <c r="A24" s="1" t="s">
        <v>118</v>
      </c>
      <c r="B24" s="1" t="s">
        <v>83</v>
      </c>
      <c r="C24" s="1" t="s">
        <v>80</v>
      </c>
    </row>
    <row r="25" customFormat="false" ht="15" hidden="false" customHeight="true" outlineLevel="0" collapsed="false">
      <c r="A25" s="1" t="s">
        <v>119</v>
      </c>
      <c r="B25" s="1" t="s">
        <v>85</v>
      </c>
      <c r="C25" s="1" t="s">
        <v>120</v>
      </c>
    </row>
    <row r="26" customFormat="false" ht="15" hidden="false" customHeight="true" outlineLevel="0" collapsed="false">
      <c r="A26" s="1" t="s">
        <v>121</v>
      </c>
      <c r="B26" s="1" t="s">
        <v>85</v>
      </c>
      <c r="C26" s="1" t="s">
        <v>122</v>
      </c>
    </row>
    <row r="27" customFormat="false" ht="15" hidden="false" customHeight="true" outlineLevel="0" collapsed="false">
      <c r="A27" s="1" t="s">
        <v>123</v>
      </c>
      <c r="B27" s="1" t="s">
        <v>85</v>
      </c>
      <c r="C27" s="1" t="s">
        <v>102</v>
      </c>
    </row>
    <row r="28" customFormat="false" ht="15" hidden="false" customHeight="true" outlineLevel="0" collapsed="false">
      <c r="A28" s="1" t="s">
        <v>124</v>
      </c>
      <c r="B28" s="1" t="s">
        <v>105</v>
      </c>
      <c r="C28" s="1" t="s">
        <v>85</v>
      </c>
    </row>
    <row r="29" customFormat="false" ht="15" hidden="false" customHeight="true" outlineLevel="0" collapsed="false">
      <c r="A29" s="1" t="s">
        <v>125</v>
      </c>
      <c r="B29" s="1" t="s">
        <v>126</v>
      </c>
      <c r="C29" s="1" t="s">
        <v>127</v>
      </c>
    </row>
    <row r="30" customFormat="false" ht="15" hidden="false" customHeight="true" outlineLevel="0" collapsed="false">
      <c r="A30" s="1" t="s">
        <v>128</v>
      </c>
      <c r="B30" s="1" t="s">
        <v>126</v>
      </c>
      <c r="C30" s="1" t="s">
        <v>129</v>
      </c>
    </row>
    <row r="31" customFormat="false" ht="15" hidden="false" customHeight="true" outlineLevel="0" collapsed="false">
      <c r="A31" s="1" t="s">
        <v>130</v>
      </c>
      <c r="B31" s="1" t="s">
        <v>126</v>
      </c>
      <c r="C31" s="1" t="s">
        <v>131</v>
      </c>
    </row>
    <row r="32" customFormat="false" ht="15" hidden="false" customHeight="true" outlineLevel="0" collapsed="false">
      <c r="A32" s="1" t="s">
        <v>132</v>
      </c>
      <c r="B32" s="1" t="s">
        <v>85</v>
      </c>
      <c r="C32" s="1" t="s">
        <v>133</v>
      </c>
    </row>
    <row r="33" customFormat="false" ht="15" hidden="false" customHeight="true" outlineLevel="0" collapsed="false">
      <c r="A33" s="1" t="s">
        <v>134</v>
      </c>
      <c r="B33" s="1" t="s">
        <v>93</v>
      </c>
      <c r="C33" s="1" t="s">
        <v>135</v>
      </c>
    </row>
    <row r="34" customFormat="false" ht="15" hidden="false" customHeight="true" outlineLevel="0" collapsed="false">
      <c r="A34" s="1" t="s">
        <v>136</v>
      </c>
      <c r="B34" s="1" t="s">
        <v>85</v>
      </c>
      <c r="C34" s="1" t="s">
        <v>80</v>
      </c>
    </row>
    <row r="35" customFormat="false" ht="15" hidden="false" customHeight="true" outlineLevel="0" collapsed="false">
      <c r="A35" s="1" t="s">
        <v>137</v>
      </c>
      <c r="B35" s="1" t="s">
        <v>83</v>
      </c>
      <c r="C35" s="1" t="s">
        <v>138</v>
      </c>
    </row>
    <row r="36" customFormat="false" ht="15" hidden="false" customHeight="true" outlineLevel="0" collapsed="false">
      <c r="A36" s="1" t="s">
        <v>139</v>
      </c>
      <c r="B36" s="1" t="s">
        <v>82</v>
      </c>
      <c r="C36" s="1" t="s">
        <v>140</v>
      </c>
    </row>
    <row r="37" customFormat="false" ht="15" hidden="false" customHeight="true" outlineLevel="0" collapsed="false">
      <c r="A37" s="1" t="s">
        <v>141</v>
      </c>
      <c r="B37" s="1" t="s">
        <v>142</v>
      </c>
      <c r="C37" s="1" t="s">
        <v>143</v>
      </c>
    </row>
    <row r="38" customFormat="false" ht="15" hidden="false" customHeight="true" outlineLevel="0" collapsed="false">
      <c r="A38" s="1" t="s">
        <v>144</v>
      </c>
      <c r="B38" s="1" t="s">
        <v>82</v>
      </c>
      <c r="C38" s="1" t="s">
        <v>145</v>
      </c>
    </row>
    <row r="39" customFormat="false" ht="15" hidden="false" customHeight="true" outlineLevel="0" collapsed="false">
      <c r="A39" s="1" t="s">
        <v>146</v>
      </c>
      <c r="B39" s="1" t="s">
        <v>82</v>
      </c>
      <c r="C39" s="1" t="s">
        <v>145</v>
      </c>
    </row>
    <row r="40" customFormat="false" ht="15" hidden="false" customHeight="true" outlineLevel="0" collapsed="false">
      <c r="A40" s="1" t="s">
        <v>147</v>
      </c>
      <c r="B40" s="1" t="s">
        <v>87</v>
      </c>
      <c r="C40" s="1" t="s">
        <v>80</v>
      </c>
    </row>
    <row r="41" customFormat="false" ht="15" hidden="false" customHeight="true" outlineLevel="0" collapsed="false">
      <c r="A41" s="1" t="s">
        <v>148</v>
      </c>
      <c r="B41" s="1" t="s">
        <v>85</v>
      </c>
      <c r="C41" s="1" t="s">
        <v>149</v>
      </c>
    </row>
    <row r="42" customFormat="false" ht="15" hidden="false" customHeight="true" outlineLevel="0" collapsed="false">
      <c r="A42" s="1" t="s">
        <v>150</v>
      </c>
      <c r="B42" s="1" t="s">
        <v>102</v>
      </c>
      <c r="C42" s="1" t="s">
        <v>80</v>
      </c>
    </row>
    <row r="43" customFormat="false" ht="15" hidden="false" customHeight="true" outlineLevel="0" collapsed="false">
      <c r="A43" s="1" t="s">
        <v>151</v>
      </c>
      <c r="B43" s="1" t="s">
        <v>79</v>
      </c>
      <c r="C43" s="1" t="s">
        <v>152</v>
      </c>
    </row>
    <row r="44" customFormat="false" ht="15" hidden="false" customHeight="true" outlineLevel="0" collapsed="false">
      <c r="A44" s="1" t="s">
        <v>153</v>
      </c>
      <c r="B44" s="1" t="s">
        <v>79</v>
      </c>
      <c r="C44" s="1" t="s">
        <v>152</v>
      </c>
    </row>
    <row r="45" customFormat="false" ht="15" hidden="false" customHeight="true" outlineLevel="0" collapsed="false">
      <c r="A45" s="1" t="s">
        <v>154</v>
      </c>
      <c r="B45" s="1" t="s">
        <v>105</v>
      </c>
      <c r="C45" s="1" t="s">
        <v>155</v>
      </c>
    </row>
    <row r="46" customFormat="false" ht="15" hidden="false" customHeight="true" outlineLevel="0" collapsed="false">
      <c r="A46" s="1" t="s">
        <v>40</v>
      </c>
      <c r="B46" s="1" t="s">
        <v>95</v>
      </c>
      <c r="C46" s="1" t="s">
        <v>96</v>
      </c>
    </row>
    <row r="47" customFormat="false" ht="15" hidden="false" customHeight="true" outlineLevel="0" collapsed="false">
      <c r="A47" s="1" t="s">
        <v>156</v>
      </c>
      <c r="B47" s="1" t="s">
        <v>95</v>
      </c>
      <c r="C47" s="1" t="s">
        <v>80</v>
      </c>
    </row>
    <row r="48" customFormat="false" ht="15" hidden="false" customHeight="true" outlineLevel="0" collapsed="false">
      <c r="A48" s="1" t="s">
        <v>157</v>
      </c>
      <c r="B48" s="1" t="s">
        <v>126</v>
      </c>
      <c r="C48" s="1" t="s">
        <v>158</v>
      </c>
    </row>
    <row r="49" customFormat="false" ht="15" hidden="false" customHeight="true" outlineLevel="0" collapsed="false">
      <c r="A49" s="1" t="s">
        <v>159</v>
      </c>
      <c r="B49" s="1" t="s">
        <v>93</v>
      </c>
      <c r="C49" s="1" t="s">
        <v>160</v>
      </c>
    </row>
    <row r="50" customFormat="false" ht="15" hidden="false" customHeight="true" outlineLevel="0" collapsed="false">
      <c r="A50" s="1" t="s">
        <v>161</v>
      </c>
      <c r="B50" s="1" t="s">
        <v>117</v>
      </c>
      <c r="C50" s="1" t="s">
        <v>162</v>
      </c>
    </row>
    <row r="51" customFormat="false" ht="15" hidden="false" customHeight="true" outlineLevel="0" collapsed="false">
      <c r="A51" s="1" t="s">
        <v>163</v>
      </c>
      <c r="B51" s="1" t="s">
        <v>105</v>
      </c>
      <c r="C51" s="1" t="s">
        <v>155</v>
      </c>
    </row>
    <row r="52" customFormat="false" ht="15" hidden="false" customHeight="true" outlineLevel="0" collapsed="false">
      <c r="A52" s="1" t="s">
        <v>164</v>
      </c>
      <c r="B52" s="1" t="s">
        <v>93</v>
      </c>
      <c r="C52" s="1" t="s">
        <v>165</v>
      </c>
    </row>
    <row r="53" customFormat="false" ht="15" hidden="false" customHeight="true" outlineLevel="0" collapsed="false">
      <c r="A53" s="1" t="s">
        <v>18</v>
      </c>
      <c r="B53" s="1" t="s">
        <v>117</v>
      </c>
      <c r="C53" s="1" t="s">
        <v>162</v>
      </c>
    </row>
    <row r="54" customFormat="false" ht="15" hidden="false" customHeight="true" outlineLevel="0" collapsed="false">
      <c r="A54" s="1" t="s">
        <v>166</v>
      </c>
      <c r="B54" s="1" t="s">
        <v>105</v>
      </c>
      <c r="C54" s="1" t="s">
        <v>155</v>
      </c>
    </row>
    <row r="55" customFormat="false" ht="15" hidden="false" customHeight="true" outlineLevel="0" collapsed="false">
      <c r="A55" s="1" t="s">
        <v>167</v>
      </c>
      <c r="B55" s="1" t="s">
        <v>85</v>
      </c>
      <c r="C55" s="1" t="s">
        <v>105</v>
      </c>
    </row>
    <row r="56" customFormat="false" ht="15" hidden="false" customHeight="true" outlineLevel="0" collapsed="false">
      <c r="A56" s="1" t="s">
        <v>168</v>
      </c>
      <c r="B56" s="1" t="s">
        <v>93</v>
      </c>
      <c r="C56" s="1" t="s">
        <v>169</v>
      </c>
    </row>
    <row r="57" customFormat="false" ht="15" hidden="false" customHeight="true" outlineLevel="0" collapsed="false">
      <c r="A57" s="1" t="s">
        <v>170</v>
      </c>
      <c r="B57" s="1" t="s">
        <v>85</v>
      </c>
      <c r="C57" s="1" t="s">
        <v>171</v>
      </c>
    </row>
    <row r="58" customFormat="false" ht="15" hidden="false" customHeight="true" outlineLevel="0" collapsed="false">
      <c r="A58" s="1" t="s">
        <v>172</v>
      </c>
      <c r="B58" s="1" t="s">
        <v>79</v>
      </c>
      <c r="C58" s="1" t="s">
        <v>173</v>
      </c>
    </row>
    <row r="59" customFormat="false" ht="15" hidden="false" customHeight="true" outlineLevel="0" collapsed="false">
      <c r="A59" s="1" t="s">
        <v>174</v>
      </c>
      <c r="B59" s="1" t="s">
        <v>83</v>
      </c>
      <c r="C59" s="1" t="s">
        <v>80</v>
      </c>
    </row>
    <row r="60" customFormat="false" ht="15" hidden="false" customHeight="true" outlineLevel="0" collapsed="false">
      <c r="A60" s="1" t="s">
        <v>175</v>
      </c>
      <c r="B60" s="1" t="s">
        <v>85</v>
      </c>
      <c r="C60" s="1" t="s">
        <v>176</v>
      </c>
    </row>
    <row r="61" customFormat="false" ht="15" hidden="false" customHeight="true" outlineLevel="0" collapsed="false">
      <c r="A61" s="1" t="s">
        <v>177</v>
      </c>
      <c r="B61" s="1" t="s">
        <v>122</v>
      </c>
      <c r="C61" s="1" t="s">
        <v>80</v>
      </c>
    </row>
    <row r="62" customFormat="false" ht="15" hidden="false" customHeight="true" outlineLevel="0" collapsed="false">
      <c r="A62" s="1" t="s">
        <v>178</v>
      </c>
      <c r="B62" s="1" t="s">
        <v>122</v>
      </c>
      <c r="C62" s="1" t="s">
        <v>179</v>
      </c>
    </row>
    <row r="63" customFormat="false" ht="15" hidden="false" customHeight="true" outlineLevel="0" collapsed="false">
      <c r="A63" s="1" t="s">
        <v>180</v>
      </c>
      <c r="B63" s="1" t="s">
        <v>79</v>
      </c>
      <c r="C63" s="1" t="s">
        <v>126</v>
      </c>
    </row>
    <row r="64" customFormat="false" ht="15" hidden="false" customHeight="true" outlineLevel="0" collapsed="false">
      <c r="A64" s="1" t="s">
        <v>181</v>
      </c>
      <c r="B64" s="1" t="s">
        <v>93</v>
      </c>
      <c r="C64" s="1" t="s">
        <v>182</v>
      </c>
    </row>
    <row r="65" customFormat="false" ht="15" hidden="false" customHeight="true" outlineLevel="0" collapsed="false">
      <c r="A65" s="1" t="s">
        <v>183</v>
      </c>
      <c r="B65" s="1" t="s">
        <v>93</v>
      </c>
      <c r="C65" s="1" t="s">
        <v>160</v>
      </c>
    </row>
    <row r="66" customFormat="false" ht="15" hidden="false" customHeight="true" outlineLevel="0" collapsed="false">
      <c r="A66" s="1" t="s">
        <v>184</v>
      </c>
      <c r="B66" s="1" t="s">
        <v>93</v>
      </c>
      <c r="C66" s="1" t="s">
        <v>160</v>
      </c>
    </row>
    <row r="67" customFormat="false" ht="15" hidden="false" customHeight="true" outlineLevel="0" collapsed="false">
      <c r="A67" s="1" t="s">
        <v>185</v>
      </c>
      <c r="B67" s="1" t="s">
        <v>93</v>
      </c>
      <c r="C67" s="1" t="s">
        <v>186</v>
      </c>
    </row>
    <row r="68" customFormat="false" ht="15" hidden="false" customHeight="true" outlineLevel="0" collapsed="false">
      <c r="A68" s="1" t="s">
        <v>187</v>
      </c>
      <c r="B68" s="1" t="s">
        <v>93</v>
      </c>
      <c r="C68" s="1" t="s">
        <v>169</v>
      </c>
    </row>
    <row r="69" customFormat="false" ht="15" hidden="false" customHeight="true" outlineLevel="0" collapsed="false">
      <c r="A69" s="1" t="s">
        <v>188</v>
      </c>
      <c r="B69" s="1" t="s">
        <v>85</v>
      </c>
      <c r="C69" s="1" t="s">
        <v>189</v>
      </c>
    </row>
    <row r="70" customFormat="false" ht="15" hidden="false" customHeight="true" outlineLevel="0" collapsed="false">
      <c r="A70" s="1" t="s">
        <v>190</v>
      </c>
      <c r="B70" s="1" t="s">
        <v>93</v>
      </c>
      <c r="C70" s="1" t="s">
        <v>169</v>
      </c>
    </row>
    <row r="71" customFormat="false" ht="15" hidden="false" customHeight="true" outlineLevel="0" collapsed="false">
      <c r="A71" s="1" t="s">
        <v>191</v>
      </c>
      <c r="B71" s="1" t="s">
        <v>105</v>
      </c>
      <c r="C71" s="1" t="s">
        <v>85</v>
      </c>
    </row>
    <row r="72" customFormat="false" ht="15" hidden="false" customHeight="true" outlineLevel="0" collapsed="false">
      <c r="A72" s="1" t="s">
        <v>192</v>
      </c>
      <c r="B72" s="1" t="s">
        <v>102</v>
      </c>
      <c r="C72" s="1" t="s">
        <v>193</v>
      </c>
    </row>
    <row r="73" customFormat="false" ht="15" hidden="false" customHeight="true" outlineLevel="0" collapsed="false">
      <c r="A73" s="1" t="s">
        <v>194</v>
      </c>
      <c r="B73" s="1" t="s">
        <v>93</v>
      </c>
      <c r="C73" s="1" t="s">
        <v>169</v>
      </c>
    </row>
    <row r="74" customFormat="false" ht="15" hidden="false" customHeight="true" outlineLevel="0" collapsed="false">
      <c r="A74" s="1" t="s">
        <v>195</v>
      </c>
      <c r="B74" s="1" t="s">
        <v>102</v>
      </c>
      <c r="C74" s="1" t="s">
        <v>196</v>
      </c>
    </row>
    <row r="75" customFormat="false" ht="15" hidden="false" customHeight="true" outlineLevel="0" collapsed="false">
      <c r="A75" s="1" t="s">
        <v>197</v>
      </c>
      <c r="B75" s="1" t="s">
        <v>105</v>
      </c>
      <c r="C75" s="1" t="s">
        <v>155</v>
      </c>
    </row>
    <row r="76" customFormat="false" ht="15" hidden="false" customHeight="true" outlineLevel="0" collapsed="false">
      <c r="A76" s="1" t="s">
        <v>198</v>
      </c>
      <c r="B76" s="1" t="s">
        <v>102</v>
      </c>
      <c r="C76" s="1" t="s">
        <v>199</v>
      </c>
    </row>
    <row r="77" customFormat="false" ht="15" hidden="false" customHeight="true" outlineLevel="0" collapsed="false">
      <c r="A77" s="1" t="s">
        <v>200</v>
      </c>
      <c r="B77" s="1" t="s">
        <v>93</v>
      </c>
      <c r="C77" s="1" t="s">
        <v>169</v>
      </c>
    </row>
    <row r="78" customFormat="false" ht="15" hidden="false" customHeight="true" outlineLevel="0" collapsed="false">
      <c r="A78" s="1" t="s">
        <v>201</v>
      </c>
      <c r="B78" s="1" t="s">
        <v>142</v>
      </c>
      <c r="C78" s="1" t="s">
        <v>202</v>
      </c>
    </row>
    <row r="79" customFormat="false" ht="15" hidden="false" customHeight="true" outlineLevel="0" collapsed="false">
      <c r="A79" s="1" t="s">
        <v>203</v>
      </c>
      <c r="B79" s="1" t="s">
        <v>105</v>
      </c>
      <c r="C79" s="1" t="s">
        <v>204</v>
      </c>
    </row>
    <row r="80" customFormat="false" ht="15" hidden="false" customHeight="true" outlineLevel="0" collapsed="false">
      <c r="A80" s="1" t="s">
        <v>205</v>
      </c>
      <c r="B80" s="1" t="s">
        <v>79</v>
      </c>
      <c r="C80" s="1" t="s">
        <v>80</v>
      </c>
    </row>
    <row r="81" customFormat="false" ht="15" hidden="false" customHeight="true" outlineLevel="0" collapsed="false">
      <c r="A81" s="1" t="s">
        <v>206</v>
      </c>
      <c r="B81" s="1" t="s">
        <v>111</v>
      </c>
      <c r="C81" s="1" t="s">
        <v>207</v>
      </c>
    </row>
    <row r="82" customFormat="false" ht="15" hidden="false" customHeight="true" outlineLevel="0" collapsed="false">
      <c r="A82" s="1" t="s">
        <v>208</v>
      </c>
      <c r="B82" s="1" t="s">
        <v>85</v>
      </c>
      <c r="C82" s="1" t="s">
        <v>80</v>
      </c>
    </row>
    <row r="83" customFormat="false" ht="15" hidden="false" customHeight="true" outlineLevel="0" collapsed="false">
      <c r="A83" s="1" t="s">
        <v>209</v>
      </c>
      <c r="B83" s="1" t="s">
        <v>85</v>
      </c>
      <c r="C83" s="1" t="s">
        <v>210</v>
      </c>
    </row>
    <row r="84" customFormat="false" ht="15" hidden="false" customHeight="true" outlineLevel="0" collapsed="false">
      <c r="A84" s="1" t="s">
        <v>211</v>
      </c>
      <c r="B84" s="1" t="s">
        <v>111</v>
      </c>
      <c r="C84" s="1" t="s">
        <v>212</v>
      </c>
    </row>
    <row r="85" customFormat="false" ht="15" hidden="false" customHeight="true" outlineLevel="0" collapsed="false">
      <c r="A85" s="1" t="s">
        <v>213</v>
      </c>
      <c r="B85" s="1" t="s">
        <v>111</v>
      </c>
      <c r="C85" s="1" t="s">
        <v>112</v>
      </c>
    </row>
    <row r="86" customFormat="false" ht="15" hidden="false" customHeight="true" outlineLevel="0" collapsed="false">
      <c r="A86" s="1" t="s">
        <v>214</v>
      </c>
      <c r="B86" s="1" t="s">
        <v>111</v>
      </c>
      <c r="C86" s="1" t="s">
        <v>207</v>
      </c>
    </row>
    <row r="87" customFormat="false" ht="15" hidden="false" customHeight="true" outlineLevel="0" collapsed="false">
      <c r="A87" s="1" t="s">
        <v>215</v>
      </c>
      <c r="B87" s="1" t="s">
        <v>111</v>
      </c>
      <c r="C87" s="1" t="s">
        <v>112</v>
      </c>
    </row>
    <row r="88" customFormat="false" ht="15" hidden="false" customHeight="true" outlineLevel="0" collapsed="false">
      <c r="A88" s="1" t="s">
        <v>216</v>
      </c>
      <c r="B88" s="1" t="s">
        <v>79</v>
      </c>
      <c r="C88" s="1" t="s">
        <v>217</v>
      </c>
    </row>
    <row r="89" customFormat="false" ht="15" hidden="false" customHeight="true" outlineLevel="0" collapsed="false">
      <c r="A89" s="1" t="s">
        <v>218</v>
      </c>
      <c r="B89" s="1" t="s">
        <v>93</v>
      </c>
      <c r="C89" s="1" t="s">
        <v>169</v>
      </c>
    </row>
    <row r="90" customFormat="false" ht="15" hidden="false" customHeight="true" outlineLevel="0" collapsed="false">
      <c r="A90" s="1" t="s">
        <v>219</v>
      </c>
      <c r="B90" s="1" t="s">
        <v>93</v>
      </c>
      <c r="C90" s="1" t="s">
        <v>169</v>
      </c>
    </row>
    <row r="91" customFormat="false" ht="15" hidden="false" customHeight="true" outlineLevel="0" collapsed="false">
      <c r="A91" s="1" t="s">
        <v>220</v>
      </c>
      <c r="B91" s="1" t="s">
        <v>102</v>
      </c>
      <c r="C91" s="1" t="s">
        <v>196</v>
      </c>
    </row>
    <row r="92" customFormat="false" ht="15" hidden="false" customHeight="true" outlineLevel="0" collapsed="false">
      <c r="A92" s="1" t="s">
        <v>221</v>
      </c>
      <c r="B92" s="1" t="s">
        <v>102</v>
      </c>
      <c r="C92" s="1" t="s">
        <v>222</v>
      </c>
    </row>
    <row r="93" customFormat="false" ht="15" hidden="false" customHeight="true" outlineLevel="0" collapsed="false">
      <c r="A93" s="1" t="s">
        <v>223</v>
      </c>
      <c r="B93" s="1" t="s">
        <v>102</v>
      </c>
      <c r="C93" s="1" t="s">
        <v>80</v>
      </c>
    </row>
    <row r="94" customFormat="false" ht="15" hidden="false" customHeight="true" outlineLevel="0" collapsed="false">
      <c r="A94" s="1" t="s">
        <v>224</v>
      </c>
      <c r="B94" s="1" t="s">
        <v>105</v>
      </c>
      <c r="C94" s="1" t="s">
        <v>106</v>
      </c>
    </row>
    <row r="95" customFormat="false" ht="15" hidden="false" customHeight="true" outlineLevel="0" collapsed="false">
      <c r="A95" s="1" t="s">
        <v>225</v>
      </c>
      <c r="B95" s="1" t="s">
        <v>111</v>
      </c>
      <c r="C95" s="1" t="s">
        <v>112</v>
      </c>
    </row>
    <row r="96" customFormat="false" ht="15" hidden="false" customHeight="true" outlineLevel="0" collapsed="false">
      <c r="A96" s="1" t="s">
        <v>226</v>
      </c>
      <c r="B96" s="1" t="s">
        <v>93</v>
      </c>
      <c r="C96" s="1" t="s">
        <v>227</v>
      </c>
    </row>
    <row r="97" customFormat="false" ht="15" hidden="false" customHeight="true" outlineLevel="0" collapsed="false">
      <c r="A97" s="1" t="s">
        <v>228</v>
      </c>
      <c r="B97" s="1" t="s">
        <v>93</v>
      </c>
      <c r="C97" s="1" t="s">
        <v>169</v>
      </c>
    </row>
    <row r="98" customFormat="false" ht="15" hidden="false" customHeight="true" outlineLevel="0" collapsed="false">
      <c r="A98" s="1" t="s">
        <v>229</v>
      </c>
      <c r="B98" s="1" t="s">
        <v>79</v>
      </c>
      <c r="C98" s="1" t="s">
        <v>80</v>
      </c>
    </row>
    <row r="99" customFormat="false" ht="15" hidden="false" customHeight="true" outlineLevel="0" collapsed="false">
      <c r="A99" s="1" t="s">
        <v>230</v>
      </c>
      <c r="B99" s="1" t="s">
        <v>96</v>
      </c>
      <c r="C99" s="1" t="s">
        <v>231</v>
      </c>
    </row>
    <row r="100" customFormat="false" ht="15" hidden="false" customHeight="true" outlineLevel="0" collapsed="false">
      <c r="A100" s="1" t="s">
        <v>232</v>
      </c>
      <c r="B100" s="1" t="s">
        <v>79</v>
      </c>
      <c r="C100" s="1" t="s">
        <v>80</v>
      </c>
    </row>
    <row r="101" customFormat="false" ht="15" hidden="false" customHeight="true" outlineLevel="0" collapsed="false">
      <c r="A101" s="1" t="s">
        <v>233</v>
      </c>
      <c r="B101" s="1" t="s">
        <v>82</v>
      </c>
      <c r="C101" s="1" t="s">
        <v>234</v>
      </c>
    </row>
    <row r="102" customFormat="false" ht="15" hidden="false" customHeight="true" outlineLevel="0" collapsed="false">
      <c r="A102" s="1" t="s">
        <v>235</v>
      </c>
      <c r="B102" s="1" t="s">
        <v>82</v>
      </c>
      <c r="C102" s="1" t="s">
        <v>234</v>
      </c>
    </row>
    <row r="103" customFormat="false" ht="15" hidden="false" customHeight="true" outlineLevel="0" collapsed="false">
      <c r="A103" s="1" t="s">
        <v>236</v>
      </c>
      <c r="B103" s="1" t="s">
        <v>93</v>
      </c>
      <c r="C103" s="1" t="s">
        <v>237</v>
      </c>
    </row>
    <row r="104" customFormat="false" ht="15" hidden="false" customHeight="true" outlineLevel="0" collapsed="false">
      <c r="A104" s="1" t="s">
        <v>238</v>
      </c>
      <c r="B104" s="1" t="s">
        <v>93</v>
      </c>
      <c r="C104" s="1" t="s">
        <v>239</v>
      </c>
    </row>
    <row r="105" customFormat="false" ht="15" hidden="false" customHeight="true" outlineLevel="0" collapsed="false">
      <c r="A105" s="1" t="s">
        <v>240</v>
      </c>
      <c r="B105" s="1" t="s">
        <v>93</v>
      </c>
      <c r="C105" s="1" t="s">
        <v>239</v>
      </c>
    </row>
    <row r="106" customFormat="false" ht="15" hidden="false" customHeight="true" outlineLevel="0" collapsed="false">
      <c r="A106" s="1" t="s">
        <v>241</v>
      </c>
      <c r="B106" s="1" t="s">
        <v>95</v>
      </c>
      <c r="C106" s="1" t="s">
        <v>80</v>
      </c>
    </row>
    <row r="107" customFormat="false" ht="15" hidden="false" customHeight="true" outlineLevel="0" collapsed="false">
      <c r="A107" s="1" t="s">
        <v>242</v>
      </c>
      <c r="B107" s="1" t="s">
        <v>85</v>
      </c>
      <c r="C107" s="1" t="s">
        <v>102</v>
      </c>
    </row>
    <row r="108" customFormat="false" ht="15" hidden="false" customHeight="true" outlineLevel="0" collapsed="false">
      <c r="A108" s="1" t="s">
        <v>243</v>
      </c>
      <c r="B108" s="1" t="s">
        <v>79</v>
      </c>
      <c r="C108" s="1" t="s">
        <v>80</v>
      </c>
    </row>
    <row r="109" customFormat="false" ht="15" hidden="false" customHeight="true" outlineLevel="0" collapsed="false">
      <c r="A109" s="1" t="s">
        <v>244</v>
      </c>
      <c r="B109" s="1" t="s">
        <v>117</v>
      </c>
      <c r="C109" s="1" t="s">
        <v>82</v>
      </c>
    </row>
    <row r="110" customFormat="false" ht="15" hidden="false" customHeight="true" outlineLevel="0" collapsed="false">
      <c r="A110" s="1" t="s">
        <v>43</v>
      </c>
      <c r="B110" s="1" t="s">
        <v>105</v>
      </c>
      <c r="C110" s="1" t="s">
        <v>80</v>
      </c>
    </row>
    <row r="111" customFormat="false" ht="15" hidden="false" customHeight="true" outlineLevel="0" collapsed="false">
      <c r="A111" s="1" t="s">
        <v>245</v>
      </c>
      <c r="B111" s="1" t="s">
        <v>105</v>
      </c>
      <c r="C111" s="1" t="s">
        <v>155</v>
      </c>
    </row>
    <row r="112" customFormat="false" ht="15" hidden="false" customHeight="true" outlineLevel="0" collapsed="false">
      <c r="A112" s="1" t="s">
        <v>246</v>
      </c>
      <c r="B112" s="1" t="s">
        <v>105</v>
      </c>
      <c r="C112" s="1" t="s">
        <v>85</v>
      </c>
    </row>
    <row r="113" customFormat="false" ht="15" hidden="false" customHeight="true" outlineLevel="0" collapsed="false">
      <c r="A113" s="1" t="s">
        <v>247</v>
      </c>
      <c r="B113" s="1" t="s">
        <v>79</v>
      </c>
      <c r="C113" s="1" t="s">
        <v>80</v>
      </c>
    </row>
    <row r="114" customFormat="false" ht="15" hidden="false" customHeight="true" outlineLevel="0" collapsed="false">
      <c r="A114" s="1" t="s">
        <v>248</v>
      </c>
      <c r="B114" s="1" t="s">
        <v>93</v>
      </c>
      <c r="C114" s="1" t="s">
        <v>249</v>
      </c>
    </row>
    <row r="115" customFormat="false" ht="15" hidden="false" customHeight="true" outlineLevel="0" collapsed="false">
      <c r="A115" s="1" t="s">
        <v>250</v>
      </c>
      <c r="B115" s="1" t="s">
        <v>95</v>
      </c>
      <c r="C115" s="1" t="s">
        <v>80</v>
      </c>
    </row>
    <row r="116" customFormat="false" ht="15" hidden="false" customHeight="true" outlineLevel="0" collapsed="false">
      <c r="A116" s="1" t="s">
        <v>251</v>
      </c>
      <c r="B116" s="1" t="s">
        <v>93</v>
      </c>
      <c r="C116" s="1" t="s">
        <v>80</v>
      </c>
    </row>
    <row r="117" customFormat="false" ht="15" hidden="false" customHeight="true" outlineLevel="0" collapsed="false">
      <c r="A117" s="1" t="s">
        <v>252</v>
      </c>
      <c r="B117" s="1" t="s">
        <v>142</v>
      </c>
      <c r="C117" s="1" t="s">
        <v>80</v>
      </c>
    </row>
    <row r="118" customFormat="false" ht="15" hidden="false" customHeight="true" outlineLevel="0" collapsed="false">
      <c r="A118" s="1" t="s">
        <v>253</v>
      </c>
      <c r="B118" s="1" t="s">
        <v>102</v>
      </c>
      <c r="C118" s="1" t="s">
        <v>80</v>
      </c>
    </row>
    <row r="119" customFormat="false" ht="15" hidden="false" customHeight="true" outlineLevel="0" collapsed="false">
      <c r="A119" s="1" t="s">
        <v>254</v>
      </c>
      <c r="B119" s="1" t="s">
        <v>85</v>
      </c>
      <c r="C119" s="1" t="s">
        <v>80</v>
      </c>
    </row>
    <row r="120" customFormat="false" ht="15" hidden="false" customHeight="true" outlineLevel="0" collapsed="false">
      <c r="A120" s="1" t="s">
        <v>255</v>
      </c>
      <c r="B120" s="1" t="s">
        <v>105</v>
      </c>
      <c r="C120" s="1" t="s">
        <v>80</v>
      </c>
    </row>
    <row r="121" customFormat="false" ht="15" hidden="false" customHeight="true" outlineLevel="0" collapsed="false">
      <c r="A121" s="1" t="s">
        <v>256</v>
      </c>
      <c r="B121" s="1" t="s">
        <v>79</v>
      </c>
      <c r="C121" s="1" t="s">
        <v>80</v>
      </c>
    </row>
    <row r="122" customFormat="false" ht="15" hidden="false" customHeight="true" outlineLevel="0" collapsed="false">
      <c r="A122" s="1" t="s">
        <v>257</v>
      </c>
      <c r="B122" s="1" t="s">
        <v>102</v>
      </c>
      <c r="C122" s="1" t="s">
        <v>80</v>
      </c>
    </row>
    <row r="123" customFormat="false" ht="15" hidden="false" customHeight="true" outlineLevel="0" collapsed="false">
      <c r="A123" s="1" t="s">
        <v>258</v>
      </c>
      <c r="B123" s="1" t="s">
        <v>102</v>
      </c>
      <c r="C123" s="1" t="s">
        <v>80</v>
      </c>
    </row>
    <row r="124" customFormat="false" ht="15" hidden="false" customHeight="true" outlineLevel="0" collapsed="false">
      <c r="A124" s="1" t="s">
        <v>259</v>
      </c>
      <c r="B124" s="1" t="s">
        <v>95</v>
      </c>
      <c r="C124" s="1" t="s">
        <v>96</v>
      </c>
    </row>
    <row r="125" customFormat="false" ht="15" hidden="false" customHeight="true" outlineLevel="0" collapsed="false">
      <c r="A125" s="1" t="s">
        <v>260</v>
      </c>
      <c r="B125" s="1" t="s">
        <v>85</v>
      </c>
      <c r="C125" s="1" t="s">
        <v>80</v>
      </c>
    </row>
    <row r="126" customFormat="false" ht="15" hidden="false" customHeight="true" outlineLevel="0" collapsed="false">
      <c r="A126" s="1" t="s">
        <v>261</v>
      </c>
      <c r="B126" s="1" t="s">
        <v>79</v>
      </c>
      <c r="C126" s="1" t="s">
        <v>80</v>
      </c>
    </row>
    <row r="127" customFormat="false" ht="15" hidden="false" customHeight="true" outlineLevel="0" collapsed="false">
      <c r="A127" s="1" t="s">
        <v>41</v>
      </c>
      <c r="B127" s="1" t="s">
        <v>102</v>
      </c>
      <c r="C127" s="1" t="s">
        <v>80</v>
      </c>
    </row>
    <row r="128" customFormat="false" ht="15" hidden="false" customHeight="true" outlineLevel="0" collapsed="false">
      <c r="A128" s="1" t="s">
        <v>262</v>
      </c>
      <c r="B128" s="1" t="s">
        <v>85</v>
      </c>
      <c r="C128" s="1" t="s">
        <v>263</v>
      </c>
    </row>
    <row r="129" customFormat="false" ht="15" hidden="false" customHeight="true" outlineLevel="0" collapsed="false">
      <c r="A129" s="1" t="s">
        <v>264</v>
      </c>
      <c r="B129" s="1" t="s">
        <v>79</v>
      </c>
      <c r="C129" s="1" t="s">
        <v>80</v>
      </c>
    </row>
    <row r="130" customFormat="false" ht="15" hidden="false" customHeight="true" outlineLevel="0" collapsed="false">
      <c r="A130" s="1" t="s">
        <v>265</v>
      </c>
      <c r="B130" s="1" t="s">
        <v>79</v>
      </c>
      <c r="C130" s="1" t="s">
        <v>80</v>
      </c>
    </row>
    <row r="131" customFormat="false" ht="15" hidden="false" customHeight="true" outlineLevel="0" collapsed="false">
      <c r="A131" s="1" t="s">
        <v>266</v>
      </c>
      <c r="B131" s="1" t="s">
        <v>85</v>
      </c>
      <c r="C131" s="1" t="s">
        <v>149</v>
      </c>
    </row>
    <row r="132" customFormat="false" ht="15" hidden="false" customHeight="true" outlineLevel="0" collapsed="false">
      <c r="A132" s="1" t="s">
        <v>267</v>
      </c>
      <c r="B132" s="1" t="s">
        <v>85</v>
      </c>
      <c r="C132" s="1" t="s">
        <v>102</v>
      </c>
    </row>
    <row r="133" customFormat="false" ht="15" hidden="false" customHeight="true" outlineLevel="0" collapsed="false">
      <c r="A133" s="1" t="s">
        <v>268</v>
      </c>
      <c r="B133" s="1" t="s">
        <v>122</v>
      </c>
      <c r="C133" s="1" t="s">
        <v>80</v>
      </c>
    </row>
    <row r="134" customFormat="false" ht="15" hidden="false" customHeight="true" outlineLevel="0" collapsed="false">
      <c r="A134" s="1" t="s">
        <v>269</v>
      </c>
      <c r="B134" s="1" t="s">
        <v>96</v>
      </c>
      <c r="C134" s="1" t="s">
        <v>80</v>
      </c>
    </row>
    <row r="135" customFormat="false" ht="15" hidden="false" customHeight="true" outlineLevel="0" collapsed="false">
      <c r="A135" s="1" t="s">
        <v>270</v>
      </c>
      <c r="B135" s="1" t="s">
        <v>122</v>
      </c>
      <c r="C135" s="1" t="s">
        <v>80</v>
      </c>
    </row>
    <row r="136" customFormat="false" ht="15" hidden="false" customHeight="true" outlineLevel="0" collapsed="false">
      <c r="A136" s="1" t="s">
        <v>271</v>
      </c>
      <c r="B136" s="1" t="s">
        <v>83</v>
      </c>
      <c r="C136" s="1" t="s">
        <v>80</v>
      </c>
    </row>
    <row r="137" customFormat="false" ht="15" hidden="false" customHeight="true" outlineLevel="0" collapsed="false">
      <c r="A137" s="1" t="s">
        <v>272</v>
      </c>
      <c r="B137" s="1" t="s">
        <v>83</v>
      </c>
      <c r="C137" s="1" t="s">
        <v>80</v>
      </c>
    </row>
    <row r="138" customFormat="false" ht="15" hidden="false" customHeight="true" outlineLevel="0" collapsed="false">
      <c r="A138" s="1" t="s">
        <v>273</v>
      </c>
      <c r="B138" s="1" t="s">
        <v>83</v>
      </c>
      <c r="C138" s="1" t="s">
        <v>80</v>
      </c>
    </row>
    <row r="139" customFormat="false" ht="15" hidden="false" customHeight="true" outlineLevel="0" collapsed="false">
      <c r="A139" s="1" t="s">
        <v>274</v>
      </c>
      <c r="B139" s="1" t="s">
        <v>83</v>
      </c>
      <c r="C139" s="1" t="s">
        <v>80</v>
      </c>
    </row>
    <row r="140" customFormat="false" ht="15" hidden="false" customHeight="true" outlineLevel="0" collapsed="false">
      <c r="A140" s="1" t="s">
        <v>275</v>
      </c>
      <c r="B140" s="1" t="s">
        <v>83</v>
      </c>
      <c r="C140" s="1" t="s">
        <v>80</v>
      </c>
    </row>
    <row r="141" customFormat="false" ht="15" hidden="false" customHeight="true" outlineLevel="0" collapsed="false">
      <c r="A141" s="1" t="s">
        <v>276</v>
      </c>
      <c r="B141" s="1" t="s">
        <v>83</v>
      </c>
      <c r="C141" s="1" t="s">
        <v>80</v>
      </c>
    </row>
    <row r="142" customFormat="false" ht="15" hidden="false" customHeight="true" outlineLevel="0" collapsed="false">
      <c r="A142" s="1" t="s">
        <v>277</v>
      </c>
      <c r="B142" s="1" t="s">
        <v>83</v>
      </c>
      <c r="C142" s="1" t="s">
        <v>80</v>
      </c>
    </row>
    <row r="143" customFormat="false" ht="15" hidden="false" customHeight="true" outlineLevel="0" collapsed="false">
      <c r="A143" s="1" t="s">
        <v>278</v>
      </c>
      <c r="B143" s="1" t="s">
        <v>93</v>
      </c>
      <c r="C143" s="1" t="s">
        <v>279</v>
      </c>
    </row>
    <row r="144" customFormat="false" ht="15" hidden="false" customHeight="true" outlineLevel="0" collapsed="false">
      <c r="A144" s="1" t="s">
        <v>280</v>
      </c>
      <c r="B144" s="1" t="s">
        <v>85</v>
      </c>
      <c r="C144" s="1" t="s">
        <v>96</v>
      </c>
    </row>
    <row r="145" customFormat="false" ht="15" hidden="false" customHeight="true" outlineLevel="0" collapsed="false">
      <c r="A145" s="1" t="s">
        <v>281</v>
      </c>
      <c r="B145" s="1" t="s">
        <v>87</v>
      </c>
      <c r="C145" s="1" t="s">
        <v>282</v>
      </c>
    </row>
    <row r="146" customFormat="false" ht="15" hidden="false" customHeight="true" outlineLevel="0" collapsed="false">
      <c r="A146" s="1" t="s">
        <v>283</v>
      </c>
      <c r="B146" s="1" t="s">
        <v>126</v>
      </c>
      <c r="C146" s="1" t="s">
        <v>149</v>
      </c>
    </row>
    <row r="147" customFormat="false" ht="15" hidden="false" customHeight="true" outlineLevel="0" collapsed="false">
      <c r="A147" s="1" t="s">
        <v>284</v>
      </c>
      <c r="B147" s="1" t="s">
        <v>142</v>
      </c>
      <c r="C147" s="1" t="s">
        <v>285</v>
      </c>
    </row>
    <row r="148" customFormat="false" ht="15" hidden="false" customHeight="true" outlineLevel="0" collapsed="false">
      <c r="A148" s="1" t="s">
        <v>286</v>
      </c>
      <c r="B148" s="1" t="s">
        <v>102</v>
      </c>
      <c r="C148" s="1" t="s">
        <v>80</v>
      </c>
    </row>
    <row r="149" customFormat="false" ht="15" hidden="false" customHeight="true" outlineLevel="0" collapsed="false">
      <c r="A149" s="1" t="s">
        <v>287</v>
      </c>
      <c r="B149" s="1" t="s">
        <v>105</v>
      </c>
      <c r="C149" s="1" t="s">
        <v>155</v>
      </c>
    </row>
    <row r="150" customFormat="false" ht="15" hidden="false" customHeight="true" outlineLevel="0" collapsed="false">
      <c r="A150" s="1" t="s">
        <v>288</v>
      </c>
      <c r="B150" s="1" t="s">
        <v>82</v>
      </c>
      <c r="C150" s="1" t="s">
        <v>87</v>
      </c>
    </row>
    <row r="151" customFormat="false" ht="15" hidden="false" customHeight="true" outlineLevel="0" collapsed="false">
      <c r="A151" s="1" t="s">
        <v>289</v>
      </c>
      <c r="B151" s="1" t="s">
        <v>142</v>
      </c>
      <c r="C151" s="1" t="s">
        <v>126</v>
      </c>
    </row>
    <row r="152" customFormat="false" ht="15" hidden="false" customHeight="true" outlineLevel="0" collapsed="false">
      <c r="A152" s="1" t="s">
        <v>290</v>
      </c>
      <c r="B152" s="1" t="s">
        <v>93</v>
      </c>
      <c r="C152" s="1" t="s">
        <v>169</v>
      </c>
    </row>
    <row r="153" customFormat="false" ht="15" hidden="false" customHeight="true" outlineLevel="0" collapsed="false">
      <c r="A153" s="1" t="s">
        <v>291</v>
      </c>
      <c r="B153" s="1" t="s">
        <v>85</v>
      </c>
      <c r="C153" s="1" t="s">
        <v>292</v>
      </c>
    </row>
    <row r="154" customFormat="false" ht="15" hidden="false" customHeight="true" outlineLevel="0" collapsed="false">
      <c r="A154" s="1" t="s">
        <v>293</v>
      </c>
      <c r="B154" s="1" t="s">
        <v>105</v>
      </c>
      <c r="C154" s="1" t="s">
        <v>85</v>
      </c>
    </row>
    <row r="155" customFormat="false" ht="15" hidden="false" customHeight="true" outlineLevel="0" collapsed="false">
      <c r="A155" s="1" t="s">
        <v>294</v>
      </c>
      <c r="B155" s="1" t="s">
        <v>105</v>
      </c>
      <c r="C155" s="1" t="s">
        <v>106</v>
      </c>
    </row>
    <row r="156" customFormat="false" ht="15" hidden="false" customHeight="true" outlineLevel="0" collapsed="false">
      <c r="A156" s="1" t="s">
        <v>295</v>
      </c>
      <c r="B156" s="1" t="s">
        <v>105</v>
      </c>
      <c r="C156" s="1" t="s">
        <v>106</v>
      </c>
    </row>
    <row r="157" customFormat="false" ht="15" hidden="false" customHeight="true" outlineLevel="0" collapsed="false">
      <c r="A157" s="1" t="s">
        <v>296</v>
      </c>
      <c r="B157" s="1" t="s">
        <v>105</v>
      </c>
      <c r="C157" s="1" t="s">
        <v>106</v>
      </c>
    </row>
    <row r="158" customFormat="false" ht="15" hidden="false" customHeight="true" outlineLevel="0" collapsed="false">
      <c r="A158" s="1" t="s">
        <v>297</v>
      </c>
      <c r="B158" s="1" t="s">
        <v>105</v>
      </c>
      <c r="C158" s="1" t="s">
        <v>106</v>
      </c>
    </row>
    <row r="159" customFormat="false" ht="15" hidden="false" customHeight="true" outlineLevel="0" collapsed="false">
      <c r="A159" s="1" t="s">
        <v>298</v>
      </c>
      <c r="B159" s="1" t="s">
        <v>105</v>
      </c>
      <c r="C159" s="1" t="s">
        <v>80</v>
      </c>
    </row>
    <row r="160" customFormat="false" ht="15" hidden="false" customHeight="true" outlineLevel="0" collapsed="false">
      <c r="A160" s="1" t="s">
        <v>299</v>
      </c>
      <c r="B160" s="1" t="s">
        <v>126</v>
      </c>
      <c r="C160" s="1" t="s">
        <v>300</v>
      </c>
    </row>
    <row r="161" customFormat="false" ht="15" hidden="false" customHeight="true" outlineLevel="0" collapsed="false">
      <c r="A161" s="1" t="s">
        <v>301</v>
      </c>
      <c r="B161" s="1" t="s">
        <v>142</v>
      </c>
      <c r="C161" s="1" t="s">
        <v>302</v>
      </c>
    </row>
    <row r="162" customFormat="false" ht="15" hidden="false" customHeight="true" outlineLevel="0" collapsed="false">
      <c r="A162" s="1" t="s">
        <v>303</v>
      </c>
      <c r="B162" s="1" t="s">
        <v>304</v>
      </c>
      <c r="C162" s="1" t="s">
        <v>122</v>
      </c>
    </row>
    <row r="163" customFormat="false" ht="15" hidden="false" customHeight="true" outlineLevel="0" collapsed="false">
      <c r="A163" s="1" t="s">
        <v>305</v>
      </c>
      <c r="B163" s="1" t="s">
        <v>85</v>
      </c>
      <c r="C163" s="1" t="s">
        <v>306</v>
      </c>
    </row>
    <row r="164" customFormat="false" ht="15" hidden="false" customHeight="true" outlineLevel="0" collapsed="false">
      <c r="A164" s="1" t="s">
        <v>307</v>
      </c>
      <c r="B164" s="1" t="s">
        <v>82</v>
      </c>
      <c r="C164" s="1" t="s">
        <v>308</v>
      </c>
    </row>
    <row r="165" customFormat="false" ht="15" hidden="false" customHeight="true" outlineLevel="0" collapsed="false">
      <c r="A165" s="1" t="s">
        <v>309</v>
      </c>
      <c r="B165" s="1" t="s">
        <v>82</v>
      </c>
      <c r="C165" s="1" t="s">
        <v>310</v>
      </c>
    </row>
    <row r="166" customFormat="false" ht="15" hidden="false" customHeight="true" outlineLevel="0" collapsed="false">
      <c r="A166" s="1" t="s">
        <v>311</v>
      </c>
      <c r="B166" s="1" t="s">
        <v>93</v>
      </c>
      <c r="C166" s="1" t="s">
        <v>279</v>
      </c>
    </row>
    <row r="167" customFormat="false" ht="15" hidden="false" customHeight="true" outlineLevel="0" collapsed="false">
      <c r="A167" s="1" t="s">
        <v>312</v>
      </c>
      <c r="B167" s="1" t="s">
        <v>122</v>
      </c>
      <c r="C167" s="1" t="s">
        <v>313</v>
      </c>
    </row>
    <row r="168" customFormat="false" ht="15" hidden="false" customHeight="true" outlineLevel="0" collapsed="false">
      <c r="A168" s="1" t="s">
        <v>314</v>
      </c>
      <c r="B168" s="1" t="s">
        <v>85</v>
      </c>
      <c r="C168" s="1" t="s">
        <v>315</v>
      </c>
    </row>
    <row r="169" customFormat="false" ht="15" hidden="false" customHeight="true" outlineLevel="0" collapsed="false">
      <c r="A169" s="1" t="s">
        <v>316</v>
      </c>
      <c r="B169" s="1" t="s">
        <v>85</v>
      </c>
      <c r="C169" s="1" t="s">
        <v>317</v>
      </c>
    </row>
    <row r="170" customFormat="false" ht="15" hidden="false" customHeight="true" outlineLevel="0" collapsed="false">
      <c r="A170" s="1" t="s">
        <v>318</v>
      </c>
      <c r="B170" s="1" t="s">
        <v>93</v>
      </c>
      <c r="C170" s="1" t="s">
        <v>319</v>
      </c>
    </row>
    <row r="171" customFormat="false" ht="15" hidden="false" customHeight="true" outlineLevel="0" collapsed="false">
      <c r="A171" s="1" t="s">
        <v>320</v>
      </c>
      <c r="B171" s="1" t="s">
        <v>105</v>
      </c>
      <c r="C171" s="1" t="s">
        <v>155</v>
      </c>
    </row>
    <row r="172" customFormat="false" ht="15" hidden="false" customHeight="true" outlineLevel="0" collapsed="false">
      <c r="A172" s="1" t="s">
        <v>321</v>
      </c>
      <c r="B172" s="1" t="s">
        <v>102</v>
      </c>
      <c r="C172" s="1" t="s">
        <v>193</v>
      </c>
    </row>
    <row r="173" customFormat="false" ht="15" hidden="false" customHeight="true" outlineLevel="0" collapsed="false">
      <c r="A173" s="1" t="s">
        <v>322</v>
      </c>
      <c r="B173" s="1" t="s">
        <v>102</v>
      </c>
      <c r="C173" s="1" t="s">
        <v>193</v>
      </c>
    </row>
    <row r="174" customFormat="false" ht="15" hidden="false" customHeight="true" outlineLevel="0" collapsed="false">
      <c r="A174" s="1" t="s">
        <v>323</v>
      </c>
      <c r="B174" s="1" t="s">
        <v>95</v>
      </c>
      <c r="C174" s="1" t="s">
        <v>96</v>
      </c>
    </row>
    <row r="175" customFormat="false" ht="15" hidden="false" customHeight="true" outlineLevel="0" collapsed="false">
      <c r="A175" s="1" t="s">
        <v>324</v>
      </c>
      <c r="B175" s="1" t="s">
        <v>102</v>
      </c>
      <c r="C175" s="1" t="s">
        <v>193</v>
      </c>
    </row>
    <row r="176" customFormat="false" ht="15" hidden="false" customHeight="true" outlineLevel="0" collapsed="false">
      <c r="A176" s="1" t="s">
        <v>325</v>
      </c>
      <c r="B176" s="1" t="s">
        <v>95</v>
      </c>
      <c r="C176" s="1" t="s">
        <v>96</v>
      </c>
    </row>
    <row r="177" customFormat="false" ht="15" hidden="false" customHeight="true" outlineLevel="0" collapsed="false">
      <c r="A177" s="1" t="s">
        <v>326</v>
      </c>
      <c r="B177" s="1" t="s">
        <v>142</v>
      </c>
      <c r="C177" s="1" t="s">
        <v>327</v>
      </c>
    </row>
    <row r="178" customFormat="false" ht="15" hidden="false" customHeight="true" outlineLevel="0" collapsed="false">
      <c r="A178" s="1" t="s">
        <v>328</v>
      </c>
      <c r="B178" s="1" t="s">
        <v>102</v>
      </c>
      <c r="C178" s="1" t="s">
        <v>285</v>
      </c>
    </row>
    <row r="179" customFormat="false" ht="15" hidden="false" customHeight="true" outlineLevel="0" collapsed="false">
      <c r="A179" s="1" t="s">
        <v>329</v>
      </c>
      <c r="B179" s="1" t="s">
        <v>95</v>
      </c>
      <c r="C179" s="1" t="s">
        <v>96</v>
      </c>
    </row>
    <row r="180" customFormat="false" ht="15" hidden="false" customHeight="true" outlineLevel="0" collapsed="false">
      <c r="A180" s="1" t="s">
        <v>330</v>
      </c>
      <c r="B180" s="1" t="s">
        <v>79</v>
      </c>
      <c r="C180" s="1" t="s">
        <v>80</v>
      </c>
    </row>
    <row r="181" customFormat="false" ht="15" hidden="false" customHeight="true" outlineLevel="0" collapsed="false">
      <c r="A181" s="1" t="s">
        <v>331</v>
      </c>
      <c r="B181" s="1" t="s">
        <v>93</v>
      </c>
      <c r="C181" s="1" t="s">
        <v>332</v>
      </c>
    </row>
    <row r="182" customFormat="false" ht="15" hidden="false" customHeight="true" outlineLevel="0" collapsed="false">
      <c r="A182" s="1" t="s">
        <v>333</v>
      </c>
      <c r="B182" s="1" t="s">
        <v>95</v>
      </c>
      <c r="C182" s="1" t="s">
        <v>96</v>
      </c>
    </row>
    <row r="183" customFormat="false" ht="15" hidden="false" customHeight="true" outlineLevel="0" collapsed="false">
      <c r="A183" s="1" t="s">
        <v>334</v>
      </c>
      <c r="B183" s="1" t="s">
        <v>79</v>
      </c>
      <c r="C183" s="1" t="s">
        <v>80</v>
      </c>
    </row>
    <row r="184" customFormat="false" ht="15" hidden="false" customHeight="true" outlineLevel="0" collapsed="false">
      <c r="A184" s="1" t="s">
        <v>335</v>
      </c>
      <c r="B184" s="1" t="s">
        <v>95</v>
      </c>
      <c r="C184" s="1" t="s">
        <v>96</v>
      </c>
    </row>
    <row r="185" customFormat="false" ht="15" hidden="false" customHeight="true" outlineLevel="0" collapsed="false">
      <c r="A185" s="1" t="s">
        <v>336</v>
      </c>
      <c r="B185" s="1" t="s">
        <v>105</v>
      </c>
      <c r="C185" s="1" t="s">
        <v>231</v>
      </c>
    </row>
    <row r="186" customFormat="false" ht="15" hidden="false" customHeight="true" outlineLevel="0" collapsed="false">
      <c r="A186" s="1" t="s">
        <v>337</v>
      </c>
      <c r="B186" s="1" t="s">
        <v>126</v>
      </c>
      <c r="C186" s="1" t="s">
        <v>338</v>
      </c>
    </row>
    <row r="187" customFormat="false" ht="15" hidden="false" customHeight="true" outlineLevel="0" collapsed="false">
      <c r="A187" s="1" t="s">
        <v>339</v>
      </c>
      <c r="B187" s="1" t="s">
        <v>85</v>
      </c>
      <c r="C187" s="1" t="s">
        <v>96</v>
      </c>
    </row>
    <row r="188" customFormat="false" ht="15" hidden="false" customHeight="true" outlineLevel="0" collapsed="false">
      <c r="A188" s="1" t="s">
        <v>340</v>
      </c>
      <c r="B188" s="1" t="s">
        <v>79</v>
      </c>
      <c r="C188" s="1" t="s">
        <v>80</v>
      </c>
    </row>
    <row r="189" customFormat="false" ht="15" hidden="false" customHeight="true" outlineLevel="0" collapsed="false">
      <c r="A189" s="1" t="s">
        <v>341</v>
      </c>
      <c r="B189" s="1" t="s">
        <v>79</v>
      </c>
      <c r="C189" s="1" t="s">
        <v>80</v>
      </c>
    </row>
    <row r="190" customFormat="false" ht="15" hidden="false" customHeight="true" outlineLevel="0" collapsed="false">
      <c r="A190" s="1" t="s">
        <v>342</v>
      </c>
      <c r="B190" s="1" t="s">
        <v>79</v>
      </c>
      <c r="C190" s="1" t="s">
        <v>80</v>
      </c>
    </row>
    <row r="191" customFormat="false" ht="15" hidden="false" customHeight="true" outlineLevel="0" collapsed="false">
      <c r="A191" s="1" t="s">
        <v>343</v>
      </c>
      <c r="B191" s="1" t="s">
        <v>85</v>
      </c>
      <c r="C191" s="1" t="s">
        <v>122</v>
      </c>
    </row>
    <row r="192" customFormat="false" ht="15" hidden="false" customHeight="true" outlineLevel="0" collapsed="false">
      <c r="A192" s="1" t="s">
        <v>344</v>
      </c>
      <c r="B192" s="1" t="s">
        <v>126</v>
      </c>
      <c r="C192" s="1" t="s">
        <v>345</v>
      </c>
    </row>
    <row r="193" customFormat="false" ht="15" hidden="false" customHeight="true" outlineLevel="0" collapsed="false">
      <c r="A193" s="1" t="s">
        <v>346</v>
      </c>
      <c r="B193" s="1" t="s">
        <v>79</v>
      </c>
      <c r="C193" s="1" t="s">
        <v>80</v>
      </c>
    </row>
    <row r="194" customFormat="false" ht="15" hidden="false" customHeight="true" outlineLevel="0" collapsed="false">
      <c r="A194" s="1" t="s">
        <v>347</v>
      </c>
      <c r="B194" s="1" t="s">
        <v>126</v>
      </c>
      <c r="C194" s="1" t="s">
        <v>131</v>
      </c>
    </row>
    <row r="195" customFormat="false" ht="15" hidden="false" customHeight="true" outlineLevel="0" collapsed="false">
      <c r="A195" s="1" t="s">
        <v>348</v>
      </c>
      <c r="B195" s="1" t="s">
        <v>126</v>
      </c>
      <c r="C195" s="1" t="s">
        <v>131</v>
      </c>
    </row>
    <row r="196" customFormat="false" ht="15" hidden="false" customHeight="true" outlineLevel="0" collapsed="false">
      <c r="A196" s="1" t="s">
        <v>349</v>
      </c>
      <c r="B196" s="1" t="s">
        <v>105</v>
      </c>
      <c r="C196" s="1" t="s">
        <v>155</v>
      </c>
    </row>
    <row r="197" customFormat="false" ht="15" hidden="false" customHeight="true" outlineLevel="0" collapsed="false">
      <c r="A197" s="1" t="s">
        <v>350</v>
      </c>
      <c r="B197" s="1" t="s">
        <v>102</v>
      </c>
      <c r="C197" s="1" t="s">
        <v>193</v>
      </c>
    </row>
    <row r="198" customFormat="false" ht="15" hidden="false" customHeight="true" outlineLevel="0" collapsed="false">
      <c r="A198" s="1" t="s">
        <v>351</v>
      </c>
      <c r="B198" s="1" t="s">
        <v>79</v>
      </c>
      <c r="C198" s="1" t="s">
        <v>80</v>
      </c>
    </row>
    <row r="199" customFormat="false" ht="15" hidden="false" customHeight="true" outlineLevel="0" collapsed="false">
      <c r="A199" s="1" t="s">
        <v>352</v>
      </c>
      <c r="B199" s="1" t="s">
        <v>105</v>
      </c>
      <c r="C199" s="1" t="s">
        <v>155</v>
      </c>
    </row>
    <row r="200" customFormat="false" ht="15" hidden="false" customHeight="true" outlineLevel="0" collapsed="false">
      <c r="A200" s="1" t="s">
        <v>353</v>
      </c>
      <c r="B200" s="1" t="s">
        <v>105</v>
      </c>
      <c r="C200" s="1" t="s">
        <v>80</v>
      </c>
    </row>
    <row r="201" customFormat="false" ht="15" hidden="false" customHeight="true" outlineLevel="0" collapsed="false">
      <c r="A201" s="1" t="s">
        <v>354</v>
      </c>
      <c r="B201" s="1" t="s">
        <v>102</v>
      </c>
      <c r="C201" s="1" t="s">
        <v>80</v>
      </c>
    </row>
    <row r="202" customFormat="false" ht="15" hidden="false" customHeight="true" outlineLevel="0" collapsed="false">
      <c r="A202" s="1" t="s">
        <v>355</v>
      </c>
      <c r="B202" s="1" t="s">
        <v>102</v>
      </c>
      <c r="C202" s="1" t="s">
        <v>80</v>
      </c>
    </row>
    <row r="203" customFormat="false" ht="15" hidden="false" customHeight="true" outlineLevel="0" collapsed="false">
      <c r="A203" s="1" t="s">
        <v>356</v>
      </c>
      <c r="B203" s="1" t="s">
        <v>79</v>
      </c>
      <c r="C203" s="1" t="s">
        <v>80</v>
      </c>
    </row>
    <row r="204" customFormat="false" ht="15" hidden="false" customHeight="true" outlineLevel="0" collapsed="false">
      <c r="A204" s="1" t="s">
        <v>357</v>
      </c>
      <c r="B204" s="1" t="s">
        <v>105</v>
      </c>
      <c r="C204" s="1" t="s">
        <v>155</v>
      </c>
    </row>
    <row r="205" customFormat="false" ht="15" hidden="false" customHeight="true" outlineLevel="0" collapsed="false">
      <c r="A205" s="1" t="s">
        <v>358</v>
      </c>
      <c r="B205" s="1" t="s">
        <v>79</v>
      </c>
      <c r="C205" s="1" t="s">
        <v>80</v>
      </c>
    </row>
    <row r="206" customFormat="false" ht="15" hidden="false" customHeight="true" outlineLevel="0" collapsed="false">
      <c r="A206" s="1" t="s">
        <v>359</v>
      </c>
      <c r="B206" s="1" t="s">
        <v>105</v>
      </c>
      <c r="C206" s="1" t="s">
        <v>155</v>
      </c>
    </row>
    <row r="207" customFormat="false" ht="15" hidden="false" customHeight="true" outlineLevel="0" collapsed="false">
      <c r="A207" s="1" t="s">
        <v>360</v>
      </c>
      <c r="B207" s="1" t="s">
        <v>126</v>
      </c>
      <c r="C207" s="1" t="s">
        <v>131</v>
      </c>
    </row>
    <row r="208" customFormat="false" ht="15" hidden="false" customHeight="true" outlineLevel="0" collapsed="false">
      <c r="A208" s="1" t="s">
        <v>361</v>
      </c>
      <c r="B208" s="1" t="s">
        <v>93</v>
      </c>
      <c r="C208" s="1" t="s">
        <v>100</v>
      </c>
    </row>
    <row r="209" customFormat="false" ht="15" hidden="false" customHeight="true" outlineLevel="0" collapsed="false">
      <c r="A209" s="1" t="s">
        <v>362</v>
      </c>
      <c r="B209" s="1" t="s">
        <v>102</v>
      </c>
      <c r="C209" s="1" t="s">
        <v>193</v>
      </c>
    </row>
    <row r="210" customFormat="false" ht="15" hidden="false" customHeight="true" outlineLevel="0" collapsed="false">
      <c r="A210" s="1" t="s">
        <v>363</v>
      </c>
      <c r="B210" s="1" t="s">
        <v>105</v>
      </c>
      <c r="C210" s="1" t="s">
        <v>155</v>
      </c>
    </row>
    <row r="211" customFormat="false" ht="15" hidden="false" customHeight="true" outlineLevel="0" collapsed="false">
      <c r="A211" s="1" t="s">
        <v>364</v>
      </c>
      <c r="B211" s="1" t="s">
        <v>102</v>
      </c>
      <c r="C211" s="1" t="s">
        <v>193</v>
      </c>
    </row>
    <row r="212" customFormat="false" ht="15" hidden="false" customHeight="true" outlineLevel="0" collapsed="false">
      <c r="A212" s="1" t="s">
        <v>365</v>
      </c>
      <c r="B212" s="1" t="s">
        <v>83</v>
      </c>
      <c r="C212" s="1" t="s">
        <v>80</v>
      </c>
    </row>
    <row r="213" customFormat="false" ht="15" hidden="false" customHeight="true" outlineLevel="0" collapsed="false">
      <c r="A213" s="1" t="s">
        <v>366</v>
      </c>
      <c r="B213" s="1" t="s">
        <v>82</v>
      </c>
      <c r="C213" s="1" t="s">
        <v>367</v>
      </c>
    </row>
    <row r="214" customFormat="false" ht="15" hidden="false" customHeight="true" outlineLevel="0" collapsed="false">
      <c r="A214" s="1" t="s">
        <v>368</v>
      </c>
      <c r="B214" s="1" t="s">
        <v>85</v>
      </c>
      <c r="C214" s="1" t="s">
        <v>369</v>
      </c>
    </row>
    <row r="215" customFormat="false" ht="15" hidden="false" customHeight="true" outlineLevel="0" collapsed="false">
      <c r="A215" s="1" t="s">
        <v>370</v>
      </c>
      <c r="B215" s="1" t="s">
        <v>85</v>
      </c>
      <c r="C215" s="1" t="s">
        <v>369</v>
      </c>
    </row>
    <row r="216" customFormat="false" ht="15" hidden="false" customHeight="true" outlineLevel="0" collapsed="false">
      <c r="A216" s="1" t="s">
        <v>371</v>
      </c>
      <c r="B216" s="1" t="s">
        <v>85</v>
      </c>
      <c r="C216" s="1" t="s">
        <v>372</v>
      </c>
    </row>
    <row r="217" customFormat="false" ht="15" hidden="false" customHeight="true" outlineLevel="0" collapsed="false">
      <c r="A217" s="1" t="s">
        <v>373</v>
      </c>
      <c r="B217" s="1" t="s">
        <v>79</v>
      </c>
      <c r="C217" s="1" t="s">
        <v>374</v>
      </c>
    </row>
    <row r="218" customFormat="false" ht="15" hidden="false" customHeight="true" outlineLevel="0" collapsed="false">
      <c r="A218" s="1" t="s">
        <v>375</v>
      </c>
      <c r="B218" s="1" t="s">
        <v>93</v>
      </c>
      <c r="C218" s="1" t="s">
        <v>100</v>
      </c>
    </row>
    <row r="219" customFormat="false" ht="15" hidden="false" customHeight="true" outlineLevel="0" collapsed="false">
      <c r="A219" s="1" t="s">
        <v>376</v>
      </c>
      <c r="B219" s="1" t="s">
        <v>117</v>
      </c>
      <c r="C219" s="1" t="s">
        <v>377</v>
      </c>
    </row>
    <row r="220" customFormat="false" ht="15" hidden="false" customHeight="true" outlineLevel="0" collapsed="false">
      <c r="A220" s="1" t="s">
        <v>378</v>
      </c>
      <c r="B220" s="1" t="s">
        <v>95</v>
      </c>
      <c r="C220" s="1" t="s">
        <v>96</v>
      </c>
    </row>
    <row r="221" customFormat="false" ht="15" hidden="false" customHeight="true" outlineLevel="0" collapsed="false">
      <c r="A221" s="1" t="s">
        <v>379</v>
      </c>
      <c r="B221" s="1" t="s">
        <v>105</v>
      </c>
      <c r="C221" s="1" t="s">
        <v>155</v>
      </c>
    </row>
    <row r="222" customFormat="false" ht="15" hidden="false" customHeight="true" outlineLevel="0" collapsed="false">
      <c r="A222" s="1" t="s">
        <v>380</v>
      </c>
      <c r="B222" s="1" t="s">
        <v>95</v>
      </c>
      <c r="C222" s="1" t="s">
        <v>96</v>
      </c>
    </row>
    <row r="223" customFormat="false" ht="15" hidden="false" customHeight="true" outlineLevel="0" collapsed="false">
      <c r="A223" s="1" t="s">
        <v>381</v>
      </c>
      <c r="B223" s="1" t="s">
        <v>105</v>
      </c>
      <c r="C223" s="1" t="s">
        <v>155</v>
      </c>
    </row>
    <row r="224" customFormat="false" ht="15" hidden="false" customHeight="true" outlineLevel="0" collapsed="false">
      <c r="A224" s="1" t="s">
        <v>382</v>
      </c>
      <c r="B224" s="1" t="s">
        <v>105</v>
      </c>
      <c r="C224" s="1" t="s">
        <v>155</v>
      </c>
    </row>
    <row r="225" customFormat="false" ht="15" hidden="false" customHeight="true" outlineLevel="0" collapsed="false">
      <c r="A225" s="1" t="s">
        <v>383</v>
      </c>
      <c r="B225" s="1" t="s">
        <v>95</v>
      </c>
      <c r="C225" s="1" t="s">
        <v>96</v>
      </c>
    </row>
    <row r="226" customFormat="false" ht="15" hidden="false" customHeight="true" outlineLevel="0" collapsed="false">
      <c r="A226" s="1" t="s">
        <v>384</v>
      </c>
      <c r="B226" s="1" t="s">
        <v>82</v>
      </c>
      <c r="C226" s="1" t="s">
        <v>308</v>
      </c>
    </row>
    <row r="227" customFormat="false" ht="15" hidden="false" customHeight="true" outlineLevel="0" collapsed="false">
      <c r="A227" s="1" t="s">
        <v>385</v>
      </c>
      <c r="B227" s="1" t="s">
        <v>102</v>
      </c>
      <c r="C227" s="1" t="s">
        <v>193</v>
      </c>
    </row>
    <row r="228" customFormat="false" ht="15" hidden="false" customHeight="true" outlineLevel="0" collapsed="false">
      <c r="A228" s="1" t="s">
        <v>386</v>
      </c>
      <c r="B228" s="1" t="s">
        <v>105</v>
      </c>
      <c r="C228" s="1" t="s">
        <v>80</v>
      </c>
    </row>
    <row r="229" customFormat="false" ht="15" hidden="false" customHeight="true" outlineLevel="0" collapsed="false">
      <c r="A229" s="1" t="s">
        <v>387</v>
      </c>
      <c r="B229" s="1" t="s">
        <v>111</v>
      </c>
      <c r="C229" s="1" t="s">
        <v>388</v>
      </c>
    </row>
    <row r="230" customFormat="false" ht="15" hidden="false" customHeight="true" outlineLevel="0" collapsed="false">
      <c r="A230" s="1" t="s">
        <v>389</v>
      </c>
      <c r="B230" s="1" t="s">
        <v>85</v>
      </c>
      <c r="C230" s="1" t="s">
        <v>102</v>
      </c>
    </row>
    <row r="231" customFormat="false" ht="15" hidden="false" customHeight="true" outlineLevel="0" collapsed="false">
      <c r="A231" s="1" t="s">
        <v>390</v>
      </c>
      <c r="B231" s="1" t="s">
        <v>93</v>
      </c>
      <c r="C231" s="1" t="s">
        <v>169</v>
      </c>
    </row>
    <row r="232" customFormat="false" ht="15" hidden="false" customHeight="true" outlineLevel="0" collapsed="false">
      <c r="A232" s="1" t="s">
        <v>391</v>
      </c>
      <c r="B232" s="1" t="s">
        <v>85</v>
      </c>
      <c r="C232" s="1" t="s">
        <v>111</v>
      </c>
    </row>
    <row r="233" customFormat="false" ht="15" hidden="false" customHeight="true" outlineLevel="0" collapsed="false">
      <c r="A233" s="1" t="s">
        <v>392</v>
      </c>
      <c r="B233" s="1" t="s">
        <v>96</v>
      </c>
      <c r="C233" s="1" t="s">
        <v>80</v>
      </c>
    </row>
    <row r="234" customFormat="false" ht="15" hidden="false" customHeight="true" outlineLevel="0" collapsed="false">
      <c r="A234" s="1" t="s">
        <v>393</v>
      </c>
      <c r="B234" s="1" t="s">
        <v>85</v>
      </c>
      <c r="C234" s="1" t="s">
        <v>80</v>
      </c>
    </row>
    <row r="235" customFormat="false" ht="15" hidden="false" customHeight="true" outlineLevel="0" collapsed="false">
      <c r="A235" s="1" t="s">
        <v>394</v>
      </c>
      <c r="B235" s="1" t="s">
        <v>96</v>
      </c>
      <c r="C235" s="1" t="s">
        <v>80</v>
      </c>
    </row>
    <row r="236" customFormat="false" ht="15" hidden="false" customHeight="true" outlineLevel="0" collapsed="false">
      <c r="A236" s="1" t="s">
        <v>395</v>
      </c>
      <c r="B236" s="1" t="s">
        <v>85</v>
      </c>
      <c r="C236" s="1" t="s">
        <v>102</v>
      </c>
    </row>
    <row r="237" customFormat="false" ht="15" hidden="false" customHeight="true" outlineLevel="0" collapsed="false">
      <c r="A237" s="1" t="s">
        <v>396</v>
      </c>
      <c r="B237" s="1" t="s">
        <v>102</v>
      </c>
      <c r="C237" s="1" t="s">
        <v>80</v>
      </c>
    </row>
    <row r="238" customFormat="false" ht="15" hidden="false" customHeight="true" outlineLevel="0" collapsed="false">
      <c r="A238" s="1" t="s">
        <v>397</v>
      </c>
      <c r="B238" s="1" t="s">
        <v>85</v>
      </c>
      <c r="C238" s="1" t="s">
        <v>398</v>
      </c>
    </row>
    <row r="239" customFormat="false" ht="15" hidden="false" customHeight="true" outlineLevel="0" collapsed="false">
      <c r="A239" s="1" t="s">
        <v>399</v>
      </c>
      <c r="B239" s="1" t="s">
        <v>95</v>
      </c>
      <c r="C239" s="1" t="s">
        <v>80</v>
      </c>
    </row>
    <row r="240" customFormat="false" ht="15" hidden="false" customHeight="true" outlineLevel="0" collapsed="false">
      <c r="A240" s="1" t="s">
        <v>400</v>
      </c>
      <c r="B240" s="1" t="s">
        <v>85</v>
      </c>
      <c r="C240" s="1" t="s">
        <v>95</v>
      </c>
    </row>
    <row r="241" customFormat="false" ht="15" hidden="false" customHeight="true" outlineLevel="0" collapsed="false">
      <c r="A241" s="1" t="s">
        <v>401</v>
      </c>
      <c r="B241" s="1" t="s">
        <v>93</v>
      </c>
      <c r="C241" s="1" t="s">
        <v>169</v>
      </c>
    </row>
    <row r="242" customFormat="false" ht="15" hidden="false" customHeight="true" outlineLevel="0" collapsed="false">
      <c r="A242" s="1" t="s">
        <v>402</v>
      </c>
      <c r="B242" s="1" t="s">
        <v>85</v>
      </c>
      <c r="C242" s="1" t="s">
        <v>122</v>
      </c>
    </row>
    <row r="243" customFormat="false" ht="15" hidden="false" customHeight="true" outlineLevel="0" collapsed="false">
      <c r="A243" s="1" t="s">
        <v>403</v>
      </c>
      <c r="B243" s="1" t="s">
        <v>93</v>
      </c>
      <c r="C243" s="1" t="s">
        <v>169</v>
      </c>
    </row>
    <row r="244" customFormat="false" ht="15" hidden="false" customHeight="true" outlineLevel="0" collapsed="false">
      <c r="A244" s="1" t="s">
        <v>404</v>
      </c>
      <c r="B244" s="1" t="s">
        <v>83</v>
      </c>
      <c r="C244" s="1" t="s">
        <v>80</v>
      </c>
    </row>
    <row r="245" customFormat="false" ht="15" hidden="false" customHeight="true" outlineLevel="0" collapsed="false">
      <c r="A245" s="1" t="s">
        <v>405</v>
      </c>
      <c r="B245" s="1" t="s">
        <v>85</v>
      </c>
      <c r="C245" s="1" t="s">
        <v>102</v>
      </c>
    </row>
    <row r="246" customFormat="false" ht="15" hidden="false" customHeight="true" outlineLevel="0" collapsed="false">
      <c r="A246" s="1" t="s">
        <v>23</v>
      </c>
      <c r="B246" s="1" t="s">
        <v>122</v>
      </c>
      <c r="C246" s="1" t="s">
        <v>80</v>
      </c>
    </row>
    <row r="247" customFormat="false" ht="15" hidden="false" customHeight="true" outlineLevel="0" collapsed="false">
      <c r="A247" s="1" t="s">
        <v>406</v>
      </c>
      <c r="B247" s="1" t="s">
        <v>79</v>
      </c>
      <c r="C247" s="1" t="s">
        <v>80</v>
      </c>
    </row>
    <row r="248" customFormat="false" ht="15" hidden="false" customHeight="true" outlineLevel="0" collapsed="false">
      <c r="A248" s="1" t="s">
        <v>407</v>
      </c>
      <c r="B248" s="1" t="s">
        <v>93</v>
      </c>
      <c r="C248" s="1" t="s">
        <v>160</v>
      </c>
    </row>
    <row r="249" customFormat="false" ht="15" hidden="false" customHeight="true" outlineLevel="0" collapsed="false">
      <c r="A249" s="1" t="s">
        <v>408</v>
      </c>
      <c r="B249" s="1" t="s">
        <v>93</v>
      </c>
      <c r="C249" s="1" t="s">
        <v>160</v>
      </c>
    </row>
    <row r="250" customFormat="false" ht="15" hidden="false" customHeight="true" outlineLevel="0" collapsed="false">
      <c r="A250" s="1" t="s">
        <v>409</v>
      </c>
      <c r="B250" s="1" t="s">
        <v>93</v>
      </c>
      <c r="C250" s="1" t="s">
        <v>169</v>
      </c>
    </row>
    <row r="251" customFormat="false" ht="15" hidden="false" customHeight="true" outlineLevel="0" collapsed="false">
      <c r="A251" s="1" t="s">
        <v>410</v>
      </c>
      <c r="B251" s="1" t="s">
        <v>102</v>
      </c>
      <c r="C251" s="1" t="s">
        <v>80</v>
      </c>
    </row>
    <row r="252" customFormat="false" ht="15" hidden="false" customHeight="true" outlineLevel="0" collapsed="false">
      <c r="A252" s="1" t="s">
        <v>411</v>
      </c>
      <c r="B252" s="1" t="s">
        <v>142</v>
      </c>
      <c r="C252" s="1" t="s">
        <v>80</v>
      </c>
    </row>
    <row r="253" customFormat="false" ht="15" hidden="false" customHeight="true" outlineLevel="0" collapsed="false">
      <c r="A253" s="1" t="s">
        <v>412</v>
      </c>
      <c r="B253" s="1" t="s">
        <v>105</v>
      </c>
      <c r="C253" s="1" t="s">
        <v>111</v>
      </c>
    </row>
    <row r="254" customFormat="false" ht="15" hidden="false" customHeight="true" outlineLevel="0" collapsed="false">
      <c r="A254" s="1" t="s">
        <v>413</v>
      </c>
      <c r="B254" s="1" t="s">
        <v>95</v>
      </c>
      <c r="C254" s="1" t="s">
        <v>80</v>
      </c>
    </row>
    <row r="255" customFormat="false" ht="15" hidden="false" customHeight="true" outlineLevel="0" collapsed="false">
      <c r="A255" s="1" t="s">
        <v>414</v>
      </c>
      <c r="B255" s="1" t="s">
        <v>102</v>
      </c>
      <c r="C255" s="1" t="s">
        <v>96</v>
      </c>
    </row>
    <row r="256" customFormat="false" ht="15" hidden="false" customHeight="true" outlineLevel="0" collapsed="false">
      <c r="A256" s="1" t="s">
        <v>415</v>
      </c>
      <c r="B256" s="1" t="s">
        <v>85</v>
      </c>
      <c r="C256" s="1" t="s">
        <v>122</v>
      </c>
    </row>
    <row r="257" customFormat="false" ht="15" hidden="false" customHeight="true" outlineLevel="0" collapsed="false">
      <c r="A257" s="1" t="s">
        <v>416</v>
      </c>
      <c r="B257" s="1" t="s">
        <v>79</v>
      </c>
      <c r="C257" s="1" t="s">
        <v>80</v>
      </c>
    </row>
    <row r="258" customFormat="false" ht="15" hidden="false" customHeight="true" outlineLevel="0" collapsed="false">
      <c r="A258" s="1" t="s">
        <v>417</v>
      </c>
      <c r="B258" s="1" t="s">
        <v>105</v>
      </c>
      <c r="C258" s="1" t="s">
        <v>85</v>
      </c>
    </row>
    <row r="259" customFormat="false" ht="15" hidden="false" customHeight="true" outlineLevel="0" collapsed="false">
      <c r="A259" s="1" t="s">
        <v>418</v>
      </c>
      <c r="B259" s="1" t="s">
        <v>93</v>
      </c>
      <c r="C259" s="1" t="s">
        <v>227</v>
      </c>
    </row>
    <row r="260" customFormat="false" ht="15" hidden="false" customHeight="true" outlineLevel="0" collapsed="false">
      <c r="A260" s="1" t="s">
        <v>419</v>
      </c>
      <c r="B260" s="1" t="s">
        <v>142</v>
      </c>
      <c r="C260" s="1" t="s">
        <v>149</v>
      </c>
    </row>
    <row r="261" customFormat="false" ht="15" hidden="false" customHeight="true" outlineLevel="0" collapsed="false">
      <c r="A261" s="1" t="s">
        <v>420</v>
      </c>
      <c r="B261" s="1" t="s">
        <v>93</v>
      </c>
      <c r="C261" s="1" t="s">
        <v>169</v>
      </c>
    </row>
    <row r="262" customFormat="false" ht="15" hidden="false" customHeight="true" outlineLevel="0" collapsed="false">
      <c r="A262" s="1" t="s">
        <v>421</v>
      </c>
      <c r="B262" s="1" t="s">
        <v>79</v>
      </c>
      <c r="C262" s="1" t="s">
        <v>80</v>
      </c>
    </row>
    <row r="263" customFormat="false" ht="15" hidden="false" customHeight="true" outlineLevel="0" collapsed="false">
      <c r="A263" s="1" t="s">
        <v>422</v>
      </c>
      <c r="B263" s="1" t="s">
        <v>79</v>
      </c>
      <c r="C263" s="1" t="s">
        <v>80</v>
      </c>
    </row>
    <row r="264" customFormat="false" ht="15" hidden="false" customHeight="true" outlineLevel="0" collapsed="false">
      <c r="A264" s="1" t="s">
        <v>423</v>
      </c>
      <c r="B264" s="1" t="s">
        <v>105</v>
      </c>
      <c r="C264" s="1" t="s">
        <v>155</v>
      </c>
    </row>
    <row r="265" customFormat="false" ht="15" hidden="false" customHeight="true" outlineLevel="0" collapsed="false">
      <c r="A265" s="1" t="s">
        <v>424</v>
      </c>
      <c r="B265" s="1" t="s">
        <v>85</v>
      </c>
      <c r="C265" s="1" t="s">
        <v>80</v>
      </c>
    </row>
    <row r="266" customFormat="false" ht="15" hidden="false" customHeight="true" outlineLevel="0" collapsed="false">
      <c r="A266" s="1" t="s">
        <v>425</v>
      </c>
      <c r="B266" s="1" t="s">
        <v>85</v>
      </c>
      <c r="C266" s="1" t="s">
        <v>80</v>
      </c>
    </row>
    <row r="267" customFormat="false" ht="15" hidden="false" customHeight="true" outlineLevel="0" collapsed="false">
      <c r="A267" s="1" t="s">
        <v>426</v>
      </c>
      <c r="B267" s="1" t="s">
        <v>85</v>
      </c>
      <c r="C267" s="1" t="s">
        <v>80</v>
      </c>
    </row>
    <row r="268" customFormat="false" ht="15" hidden="false" customHeight="true" outlineLevel="0" collapsed="false">
      <c r="A268" s="1" t="s">
        <v>427</v>
      </c>
      <c r="B268" s="1" t="s">
        <v>85</v>
      </c>
      <c r="C268" s="1" t="s">
        <v>111</v>
      </c>
    </row>
    <row r="269" customFormat="false" ht="15" hidden="false" customHeight="true" outlineLevel="0" collapsed="false">
      <c r="A269" s="1" t="s">
        <v>428</v>
      </c>
      <c r="B269" s="1" t="s">
        <v>96</v>
      </c>
      <c r="C269" s="1" t="s">
        <v>429</v>
      </c>
    </row>
    <row r="270" customFormat="false" ht="15" hidden="false" customHeight="true" outlineLevel="0" collapsed="false">
      <c r="A270" s="1" t="s">
        <v>430</v>
      </c>
      <c r="B270" s="1" t="s">
        <v>93</v>
      </c>
      <c r="C270" s="1" t="s">
        <v>100</v>
      </c>
    </row>
    <row r="271" customFormat="false" ht="15" hidden="false" customHeight="true" outlineLevel="0" collapsed="false">
      <c r="A271" s="1" t="s">
        <v>431</v>
      </c>
      <c r="B271" s="1" t="s">
        <v>96</v>
      </c>
      <c r="C271" s="1" t="s">
        <v>80</v>
      </c>
    </row>
    <row r="272" customFormat="false" ht="15" hidden="false" customHeight="true" outlineLevel="0" collapsed="false">
      <c r="A272" s="1" t="s">
        <v>432</v>
      </c>
      <c r="B272" s="1" t="s">
        <v>105</v>
      </c>
      <c r="C272" s="1" t="s">
        <v>80</v>
      </c>
    </row>
    <row r="273" customFormat="false" ht="15" hidden="false" customHeight="true" outlineLevel="0" collapsed="false">
      <c r="A273" s="1" t="s">
        <v>433</v>
      </c>
      <c r="B273" s="1" t="s">
        <v>79</v>
      </c>
      <c r="C273" s="1" t="s">
        <v>80</v>
      </c>
    </row>
    <row r="274" customFormat="false" ht="15" hidden="false" customHeight="true" outlineLevel="0" collapsed="false">
      <c r="A274" s="1" t="s">
        <v>434</v>
      </c>
      <c r="B274" s="1" t="s">
        <v>79</v>
      </c>
      <c r="C274" s="1" t="s">
        <v>80</v>
      </c>
    </row>
    <row r="275" customFormat="false" ht="15" hidden="false" customHeight="true" outlineLevel="0" collapsed="false">
      <c r="A275" s="1" t="s">
        <v>435</v>
      </c>
      <c r="B275" s="1" t="s">
        <v>95</v>
      </c>
      <c r="C275" s="1" t="s">
        <v>80</v>
      </c>
    </row>
    <row r="276" customFormat="false" ht="15" hidden="false" customHeight="true" outlineLevel="0" collapsed="false">
      <c r="A276" s="1" t="s">
        <v>436</v>
      </c>
      <c r="B276" s="1" t="s">
        <v>82</v>
      </c>
      <c r="C276" s="1" t="s">
        <v>140</v>
      </c>
    </row>
    <row r="277" customFormat="false" ht="15" hidden="false" customHeight="true" outlineLevel="0" collapsed="false">
      <c r="A277" s="1" t="s">
        <v>437</v>
      </c>
      <c r="B277" s="1" t="s">
        <v>102</v>
      </c>
      <c r="C277" s="1" t="s">
        <v>193</v>
      </c>
    </row>
    <row r="278" customFormat="false" ht="15" hidden="false" customHeight="true" outlineLevel="0" collapsed="false">
      <c r="A278" s="1" t="s">
        <v>438</v>
      </c>
      <c r="B278" s="1" t="s">
        <v>102</v>
      </c>
      <c r="C278" s="1" t="s">
        <v>193</v>
      </c>
    </row>
    <row r="279" customFormat="false" ht="15" hidden="false" customHeight="true" outlineLevel="0" collapsed="false">
      <c r="A279" s="1" t="s">
        <v>439</v>
      </c>
      <c r="B279" s="1" t="s">
        <v>117</v>
      </c>
      <c r="C279" s="1" t="s">
        <v>82</v>
      </c>
    </row>
    <row r="280" customFormat="false" ht="15" hidden="false" customHeight="true" outlineLevel="0" collapsed="false">
      <c r="A280" s="1" t="s">
        <v>440</v>
      </c>
      <c r="B280" s="1" t="s">
        <v>83</v>
      </c>
      <c r="C280" s="1" t="s">
        <v>80</v>
      </c>
    </row>
    <row r="281" customFormat="false" ht="15" hidden="false" customHeight="true" outlineLevel="0" collapsed="false">
      <c r="A281" s="1" t="s">
        <v>441</v>
      </c>
      <c r="B281" s="1" t="s">
        <v>105</v>
      </c>
      <c r="C281" s="1" t="s">
        <v>442</v>
      </c>
    </row>
    <row r="282" customFormat="false" ht="15" hidden="false" customHeight="true" outlineLevel="0" collapsed="false">
      <c r="A282" s="1" t="s">
        <v>443</v>
      </c>
      <c r="B282" s="1" t="s">
        <v>93</v>
      </c>
      <c r="C282" s="1" t="s">
        <v>444</v>
      </c>
    </row>
    <row r="283" customFormat="false" ht="15" hidden="false" customHeight="true" outlineLevel="0" collapsed="false">
      <c r="A283" s="1" t="s">
        <v>445</v>
      </c>
      <c r="B283" s="1" t="s">
        <v>93</v>
      </c>
      <c r="C283" s="1" t="s">
        <v>169</v>
      </c>
    </row>
    <row r="284" customFormat="false" ht="15" hidden="false" customHeight="true" outlineLevel="0" collapsed="false">
      <c r="A284" s="1" t="s">
        <v>446</v>
      </c>
      <c r="B284" s="1" t="s">
        <v>93</v>
      </c>
      <c r="C284" s="1" t="s">
        <v>169</v>
      </c>
    </row>
    <row r="285" customFormat="false" ht="15" hidden="false" customHeight="true" outlineLevel="0" collapsed="false">
      <c r="A285" s="1" t="s">
        <v>447</v>
      </c>
      <c r="B285" s="1" t="s">
        <v>79</v>
      </c>
      <c r="C285" s="1" t="s">
        <v>80</v>
      </c>
    </row>
    <row r="286" customFormat="false" ht="15" hidden="false" customHeight="true" outlineLevel="0" collapsed="false">
      <c r="A286" s="1" t="s">
        <v>448</v>
      </c>
      <c r="B286" s="1" t="s">
        <v>93</v>
      </c>
      <c r="C286" s="1" t="s">
        <v>169</v>
      </c>
    </row>
    <row r="287" customFormat="false" ht="15" hidden="false" customHeight="true" outlineLevel="0" collapsed="false">
      <c r="A287" s="1" t="s">
        <v>449</v>
      </c>
      <c r="B287" s="1" t="s">
        <v>93</v>
      </c>
      <c r="C287" s="1" t="s">
        <v>169</v>
      </c>
    </row>
    <row r="288" customFormat="false" ht="15" hidden="false" customHeight="true" outlineLevel="0" collapsed="false">
      <c r="A288" s="1" t="s">
        <v>450</v>
      </c>
      <c r="B288" s="1" t="s">
        <v>82</v>
      </c>
      <c r="C288" s="1" t="s">
        <v>234</v>
      </c>
    </row>
    <row r="289" customFormat="false" ht="15" hidden="false" customHeight="true" outlineLevel="0" collapsed="false">
      <c r="A289" s="1" t="s">
        <v>451</v>
      </c>
      <c r="B289" s="1" t="s">
        <v>85</v>
      </c>
      <c r="C289" s="1" t="s">
        <v>80</v>
      </c>
    </row>
    <row r="290" customFormat="false" ht="15" hidden="false" customHeight="true" outlineLevel="0" collapsed="false">
      <c r="A290" s="1" t="s">
        <v>452</v>
      </c>
      <c r="B290" s="1" t="s">
        <v>93</v>
      </c>
      <c r="C290" s="1" t="s">
        <v>100</v>
      </c>
    </row>
    <row r="291" customFormat="false" ht="15" hidden="false" customHeight="true" outlineLevel="0" collapsed="false">
      <c r="A291" s="1" t="s">
        <v>453</v>
      </c>
      <c r="B291" s="1" t="s">
        <v>85</v>
      </c>
      <c r="C291" s="1" t="s">
        <v>80</v>
      </c>
    </row>
    <row r="292" customFormat="false" ht="15" hidden="false" customHeight="true" outlineLevel="0" collapsed="false">
      <c r="A292" s="1" t="s">
        <v>454</v>
      </c>
      <c r="B292" s="1" t="s">
        <v>85</v>
      </c>
      <c r="C292" s="1" t="s">
        <v>80</v>
      </c>
    </row>
    <row r="293" customFormat="false" ht="15" hidden="false" customHeight="true" outlineLevel="0" collapsed="false">
      <c r="A293" s="1" t="s">
        <v>455</v>
      </c>
      <c r="B293" s="1" t="s">
        <v>82</v>
      </c>
      <c r="C293" s="1" t="s">
        <v>80</v>
      </c>
    </row>
    <row r="294" customFormat="false" ht="15" hidden="false" customHeight="true" outlineLevel="0" collapsed="false">
      <c r="A294" s="1" t="s">
        <v>456</v>
      </c>
      <c r="B294" s="1" t="s">
        <v>85</v>
      </c>
      <c r="C294" s="1" t="s">
        <v>80</v>
      </c>
    </row>
    <row r="295" customFormat="false" ht="15" hidden="false" customHeight="true" outlineLevel="0" collapsed="false">
      <c r="A295" s="1" t="s">
        <v>457</v>
      </c>
      <c r="B295" s="1" t="s">
        <v>105</v>
      </c>
      <c r="C295" s="1" t="s">
        <v>204</v>
      </c>
    </row>
    <row r="296" customFormat="false" ht="15" hidden="false" customHeight="true" outlineLevel="0" collapsed="false">
      <c r="A296" s="1" t="s">
        <v>458</v>
      </c>
      <c r="B296" s="1" t="s">
        <v>93</v>
      </c>
      <c r="C296" s="1" t="s">
        <v>459</v>
      </c>
    </row>
    <row r="297" customFormat="false" ht="15" hidden="false" customHeight="true" outlineLevel="0" collapsed="false">
      <c r="A297" s="1" t="s">
        <v>460</v>
      </c>
      <c r="B297" s="1" t="s">
        <v>93</v>
      </c>
      <c r="C297" s="1" t="s">
        <v>140</v>
      </c>
    </row>
    <row r="298" customFormat="false" ht="15" hidden="false" customHeight="true" outlineLevel="0" collapsed="false">
      <c r="A298" s="1" t="s">
        <v>461</v>
      </c>
      <c r="B298" s="1" t="s">
        <v>85</v>
      </c>
      <c r="C298" s="1" t="s">
        <v>80</v>
      </c>
    </row>
    <row r="299" customFormat="false" ht="15" hidden="false" customHeight="true" outlineLevel="0" collapsed="false">
      <c r="A299" s="1" t="s">
        <v>462</v>
      </c>
      <c r="B299" s="1" t="s">
        <v>142</v>
      </c>
      <c r="C299" s="1" t="s">
        <v>327</v>
      </c>
    </row>
    <row r="300" customFormat="false" ht="15" hidden="false" customHeight="true" outlineLevel="0" collapsed="false">
      <c r="A300" s="1" t="s">
        <v>463</v>
      </c>
      <c r="B300" s="1" t="s">
        <v>142</v>
      </c>
      <c r="C300" s="1" t="s">
        <v>263</v>
      </c>
    </row>
    <row r="301" customFormat="false" ht="15" hidden="false" customHeight="true" outlineLevel="0" collapsed="false">
      <c r="A301" s="1" t="s">
        <v>464</v>
      </c>
      <c r="B301" s="1" t="s">
        <v>82</v>
      </c>
      <c r="C301" s="1" t="s">
        <v>140</v>
      </c>
    </row>
    <row r="302" customFormat="false" ht="15" hidden="false" customHeight="true" outlineLevel="0" collapsed="false">
      <c r="A302" s="1" t="s">
        <v>44</v>
      </c>
      <c r="B302" s="1" t="s">
        <v>117</v>
      </c>
      <c r="C302" s="1" t="s">
        <v>82</v>
      </c>
    </row>
    <row r="303" customFormat="false" ht="15" hidden="false" customHeight="true" outlineLevel="0" collapsed="false">
      <c r="A303" s="1" t="s">
        <v>465</v>
      </c>
      <c r="B303" s="1" t="s">
        <v>93</v>
      </c>
      <c r="C303" s="1" t="s">
        <v>466</v>
      </c>
    </row>
    <row r="304" customFormat="false" ht="15" hidden="false" customHeight="true" outlineLevel="0" collapsed="false">
      <c r="A304" s="1" t="s">
        <v>467</v>
      </c>
      <c r="B304" s="1" t="s">
        <v>82</v>
      </c>
      <c r="C304" s="1" t="s">
        <v>468</v>
      </c>
    </row>
    <row r="305" customFormat="false" ht="15" hidden="false" customHeight="true" outlineLevel="0" collapsed="false">
      <c r="A305" s="1" t="s">
        <v>469</v>
      </c>
      <c r="B305" s="1" t="s">
        <v>82</v>
      </c>
      <c r="C305" s="1" t="s">
        <v>468</v>
      </c>
    </row>
    <row r="306" customFormat="false" ht="15" hidden="false" customHeight="true" outlineLevel="0" collapsed="false">
      <c r="A306" s="1" t="s">
        <v>470</v>
      </c>
      <c r="B306" s="1" t="s">
        <v>79</v>
      </c>
      <c r="C306" s="1" t="s">
        <v>112</v>
      </c>
    </row>
    <row r="307" customFormat="false" ht="15" hidden="false" customHeight="true" outlineLevel="0" collapsed="false">
      <c r="A307" s="1" t="s">
        <v>471</v>
      </c>
      <c r="B307" s="1" t="s">
        <v>87</v>
      </c>
      <c r="C307" s="1" t="s">
        <v>80</v>
      </c>
    </row>
    <row r="308" customFormat="false" ht="15" hidden="false" customHeight="true" outlineLevel="0" collapsed="false">
      <c r="A308" s="1" t="s">
        <v>472</v>
      </c>
      <c r="B308" s="1" t="s">
        <v>87</v>
      </c>
      <c r="C308" s="1" t="s">
        <v>80</v>
      </c>
    </row>
    <row r="309" customFormat="false" ht="15" hidden="false" customHeight="true" outlineLevel="0" collapsed="false">
      <c r="A309" s="1" t="s">
        <v>473</v>
      </c>
      <c r="B309" s="1" t="s">
        <v>93</v>
      </c>
      <c r="C309" s="1" t="s">
        <v>169</v>
      </c>
    </row>
    <row r="310" customFormat="false" ht="15" hidden="false" customHeight="true" outlineLevel="0" collapsed="false">
      <c r="A310" s="1" t="s">
        <v>474</v>
      </c>
      <c r="B310" s="1" t="s">
        <v>95</v>
      </c>
      <c r="C310" s="1" t="s">
        <v>80</v>
      </c>
    </row>
    <row r="311" customFormat="false" ht="15" hidden="false" customHeight="true" outlineLevel="0" collapsed="false">
      <c r="A311" s="1" t="s">
        <v>475</v>
      </c>
      <c r="B311" s="1" t="s">
        <v>105</v>
      </c>
      <c r="C311" s="1" t="s">
        <v>155</v>
      </c>
    </row>
    <row r="312" customFormat="false" ht="15" hidden="false" customHeight="true" outlineLevel="0" collapsed="false">
      <c r="A312" s="1" t="s">
        <v>476</v>
      </c>
      <c r="B312" s="1" t="s">
        <v>82</v>
      </c>
      <c r="C312" s="1" t="s">
        <v>80</v>
      </c>
    </row>
    <row r="313" customFormat="false" ht="15" hidden="false" customHeight="true" outlineLevel="0" collapsed="false">
      <c r="A313" s="1" t="s">
        <v>477</v>
      </c>
      <c r="B313" s="1" t="s">
        <v>82</v>
      </c>
      <c r="C313" s="1" t="s">
        <v>80</v>
      </c>
    </row>
    <row r="314" customFormat="false" ht="15" hidden="false" customHeight="true" outlineLevel="0" collapsed="false">
      <c r="A314" s="1" t="s">
        <v>478</v>
      </c>
      <c r="B314" s="1" t="s">
        <v>85</v>
      </c>
      <c r="C314" s="1" t="s">
        <v>102</v>
      </c>
    </row>
    <row r="315" customFormat="false" ht="15" hidden="false" customHeight="true" outlineLevel="0" collapsed="false">
      <c r="A315" s="1" t="s">
        <v>479</v>
      </c>
      <c r="B315" s="1" t="s">
        <v>93</v>
      </c>
      <c r="C315" s="1" t="s">
        <v>480</v>
      </c>
    </row>
    <row r="316" customFormat="false" ht="15" hidden="false" customHeight="true" outlineLevel="0" collapsed="false">
      <c r="A316" s="1" t="s">
        <v>481</v>
      </c>
      <c r="B316" s="1" t="s">
        <v>93</v>
      </c>
      <c r="C316" s="1" t="s">
        <v>480</v>
      </c>
    </row>
    <row r="317" customFormat="false" ht="15" hidden="false" customHeight="true" outlineLevel="0" collapsed="false">
      <c r="A317" s="1" t="s">
        <v>482</v>
      </c>
      <c r="B317" s="1" t="s">
        <v>82</v>
      </c>
      <c r="C317" s="1" t="s">
        <v>483</v>
      </c>
    </row>
    <row r="318" customFormat="false" ht="15" hidden="false" customHeight="true" outlineLevel="0" collapsed="false">
      <c r="A318" s="1" t="s">
        <v>484</v>
      </c>
      <c r="B318" s="1" t="s">
        <v>82</v>
      </c>
      <c r="C318" s="1" t="s">
        <v>483</v>
      </c>
    </row>
    <row r="319" customFormat="false" ht="15" hidden="false" customHeight="true" outlineLevel="0" collapsed="false">
      <c r="A319" s="1" t="s">
        <v>485</v>
      </c>
      <c r="B319" s="1" t="s">
        <v>82</v>
      </c>
      <c r="C319" s="1" t="s">
        <v>468</v>
      </c>
    </row>
    <row r="320" customFormat="false" ht="15" hidden="false" customHeight="true" outlineLevel="0" collapsed="false">
      <c r="A320" s="1" t="s">
        <v>486</v>
      </c>
      <c r="B320" s="1" t="s">
        <v>79</v>
      </c>
      <c r="C320" s="1" t="s">
        <v>80</v>
      </c>
    </row>
    <row r="321" customFormat="false" ht="15" hidden="false" customHeight="true" outlineLevel="0" collapsed="false">
      <c r="A321" s="1" t="s">
        <v>487</v>
      </c>
      <c r="B321" s="1" t="s">
        <v>79</v>
      </c>
      <c r="C321" s="1" t="s">
        <v>80</v>
      </c>
    </row>
    <row r="322" customFormat="false" ht="15" hidden="false" customHeight="true" outlineLevel="0" collapsed="false">
      <c r="A322" s="1" t="s">
        <v>488</v>
      </c>
      <c r="B322" s="1" t="s">
        <v>93</v>
      </c>
      <c r="C322" s="1" t="s">
        <v>489</v>
      </c>
    </row>
    <row r="323" customFormat="false" ht="15" hidden="false" customHeight="true" outlineLevel="0" collapsed="false">
      <c r="A323" s="1" t="s">
        <v>490</v>
      </c>
      <c r="B323" s="1" t="s">
        <v>105</v>
      </c>
      <c r="C323" s="1" t="s">
        <v>106</v>
      </c>
    </row>
    <row r="324" customFormat="false" ht="15" hidden="false" customHeight="true" outlineLevel="0" collapsed="false">
      <c r="A324" s="1" t="s">
        <v>491</v>
      </c>
      <c r="B324" s="1" t="s">
        <v>95</v>
      </c>
      <c r="C324" s="1" t="s">
        <v>80</v>
      </c>
    </row>
    <row r="325" customFormat="false" ht="15" hidden="false" customHeight="true" outlineLevel="0" collapsed="false">
      <c r="A325" s="1" t="s">
        <v>492</v>
      </c>
      <c r="B325" s="1" t="s">
        <v>493</v>
      </c>
      <c r="C325" s="1" t="s">
        <v>87</v>
      </c>
    </row>
    <row r="326" customFormat="false" ht="15" hidden="false" customHeight="true" outlineLevel="0" collapsed="false">
      <c r="A326" s="1" t="s">
        <v>494</v>
      </c>
      <c r="B326" s="1" t="s">
        <v>117</v>
      </c>
      <c r="C326" s="1" t="s">
        <v>82</v>
      </c>
    </row>
    <row r="327" customFormat="false" ht="15" hidden="false" customHeight="true" outlineLevel="0" collapsed="false">
      <c r="A327" s="1" t="s">
        <v>495</v>
      </c>
      <c r="B327" s="1" t="s">
        <v>93</v>
      </c>
      <c r="C327" s="1" t="s">
        <v>80</v>
      </c>
    </row>
    <row r="328" customFormat="false" ht="15" hidden="false" customHeight="true" outlineLevel="0" collapsed="false">
      <c r="A328" s="1" t="s">
        <v>496</v>
      </c>
      <c r="B328" s="1" t="s">
        <v>117</v>
      </c>
      <c r="C328" s="1" t="s">
        <v>162</v>
      </c>
    </row>
    <row r="329" customFormat="false" ht="15" hidden="false" customHeight="true" outlineLevel="0" collapsed="false">
      <c r="A329" s="1" t="s">
        <v>497</v>
      </c>
      <c r="B329" s="1" t="s">
        <v>126</v>
      </c>
      <c r="C329" s="1" t="s">
        <v>140</v>
      </c>
    </row>
    <row r="330" customFormat="false" ht="15" hidden="false" customHeight="true" outlineLevel="0" collapsed="false">
      <c r="A330" s="1" t="s">
        <v>498</v>
      </c>
      <c r="B330" s="1" t="s">
        <v>126</v>
      </c>
      <c r="C330" s="1" t="s">
        <v>117</v>
      </c>
    </row>
    <row r="331" customFormat="false" ht="15" hidden="false" customHeight="true" outlineLevel="0" collapsed="false">
      <c r="A331" s="1" t="s">
        <v>499</v>
      </c>
      <c r="B331" s="1" t="s">
        <v>82</v>
      </c>
      <c r="C331" s="1" t="s">
        <v>100</v>
      </c>
    </row>
    <row r="332" customFormat="false" ht="15" hidden="false" customHeight="true" outlineLevel="0" collapsed="false">
      <c r="A332" s="1" t="s">
        <v>35</v>
      </c>
      <c r="B332" s="1" t="s">
        <v>126</v>
      </c>
      <c r="C332" s="1" t="s">
        <v>227</v>
      </c>
    </row>
    <row r="333" customFormat="false" ht="15" hidden="false" customHeight="true" outlineLevel="0" collapsed="false">
      <c r="A333" s="1" t="s">
        <v>500</v>
      </c>
      <c r="B333" s="1" t="s">
        <v>126</v>
      </c>
      <c r="C333" s="1" t="s">
        <v>227</v>
      </c>
    </row>
    <row r="334" customFormat="false" ht="15" hidden="false" customHeight="true" outlineLevel="0" collapsed="false">
      <c r="A334" s="1" t="s">
        <v>501</v>
      </c>
      <c r="B334" s="1" t="s">
        <v>493</v>
      </c>
      <c r="C334" s="1" t="s">
        <v>80</v>
      </c>
    </row>
    <row r="335" customFormat="false" ht="15" hidden="false" customHeight="true" outlineLevel="0" collapsed="false">
      <c r="A335" s="1" t="s">
        <v>502</v>
      </c>
      <c r="B335" s="1" t="s">
        <v>493</v>
      </c>
      <c r="C335" s="1" t="s">
        <v>80</v>
      </c>
    </row>
    <row r="336" customFormat="false" ht="15" hidden="false" customHeight="true" outlineLevel="0" collapsed="false">
      <c r="A336" s="1" t="s">
        <v>503</v>
      </c>
      <c r="B336" s="1" t="s">
        <v>82</v>
      </c>
      <c r="C336" s="1" t="s">
        <v>80</v>
      </c>
    </row>
    <row r="337" customFormat="false" ht="15" hidden="false" customHeight="true" outlineLevel="0" collapsed="false">
      <c r="A337" s="1" t="s">
        <v>504</v>
      </c>
      <c r="B337" s="1" t="s">
        <v>102</v>
      </c>
      <c r="C337" s="1" t="s">
        <v>96</v>
      </c>
    </row>
    <row r="338" customFormat="false" ht="15" hidden="false" customHeight="true" outlineLevel="0" collapsed="false">
      <c r="A338" s="1" t="s">
        <v>505</v>
      </c>
      <c r="B338" s="1" t="s">
        <v>111</v>
      </c>
      <c r="C338" s="1" t="s">
        <v>506</v>
      </c>
    </row>
    <row r="339" customFormat="false" ht="15" hidden="false" customHeight="true" outlineLevel="0" collapsed="false">
      <c r="A339" s="1" t="s">
        <v>507</v>
      </c>
      <c r="B339" s="1" t="s">
        <v>105</v>
      </c>
      <c r="C339" s="1" t="s">
        <v>155</v>
      </c>
    </row>
    <row r="340" customFormat="false" ht="15" hidden="false" customHeight="true" outlineLevel="0" collapsed="false">
      <c r="A340" s="1" t="s">
        <v>508</v>
      </c>
      <c r="B340" s="1" t="s">
        <v>105</v>
      </c>
      <c r="C340" s="1" t="s">
        <v>85</v>
      </c>
    </row>
    <row r="341" customFormat="false" ht="15" hidden="false" customHeight="true" outlineLevel="0" collapsed="false">
      <c r="A341" s="1" t="s">
        <v>509</v>
      </c>
      <c r="B341" s="1" t="s">
        <v>105</v>
      </c>
      <c r="C341" s="1" t="s">
        <v>155</v>
      </c>
    </row>
    <row r="342" customFormat="false" ht="15" hidden="false" customHeight="true" outlineLevel="0" collapsed="false">
      <c r="A342" s="1" t="s">
        <v>45</v>
      </c>
      <c r="B342" s="1" t="s">
        <v>95</v>
      </c>
      <c r="C342" s="1" t="s">
        <v>80</v>
      </c>
    </row>
    <row r="343" customFormat="false" ht="15" hidden="false" customHeight="true" outlineLevel="0" collapsed="false">
      <c r="A343" s="1" t="s">
        <v>510</v>
      </c>
      <c r="B343" s="1" t="s">
        <v>105</v>
      </c>
      <c r="C343" s="1" t="s">
        <v>85</v>
      </c>
    </row>
    <row r="344" customFormat="false" ht="15" hidden="false" customHeight="true" outlineLevel="0" collapsed="false">
      <c r="A344" s="1" t="s">
        <v>511</v>
      </c>
      <c r="B344" s="1" t="s">
        <v>105</v>
      </c>
      <c r="C344" s="1" t="s">
        <v>85</v>
      </c>
    </row>
    <row r="345" customFormat="false" ht="15" hidden="false" customHeight="true" outlineLevel="0" collapsed="false">
      <c r="A345" s="1" t="s">
        <v>512</v>
      </c>
      <c r="B345" s="1" t="s">
        <v>105</v>
      </c>
      <c r="C345" s="1" t="s">
        <v>155</v>
      </c>
    </row>
    <row r="346" customFormat="false" ht="15" hidden="false" customHeight="true" outlineLevel="0" collapsed="false">
      <c r="A346" s="1" t="s">
        <v>513</v>
      </c>
      <c r="B346" s="1" t="s">
        <v>95</v>
      </c>
      <c r="C346" s="1" t="s">
        <v>80</v>
      </c>
    </row>
    <row r="347" customFormat="false" ht="15" hidden="false" customHeight="true" outlineLevel="0" collapsed="false">
      <c r="A347" s="1" t="s">
        <v>514</v>
      </c>
      <c r="B347" s="1" t="s">
        <v>95</v>
      </c>
      <c r="C347" s="1" t="s">
        <v>80</v>
      </c>
    </row>
    <row r="348" customFormat="false" ht="15" hidden="false" customHeight="true" outlineLevel="0" collapsed="false">
      <c r="A348" s="1" t="s">
        <v>515</v>
      </c>
      <c r="B348" s="1" t="s">
        <v>105</v>
      </c>
      <c r="C348" s="1" t="s">
        <v>155</v>
      </c>
    </row>
    <row r="349" customFormat="false" ht="15" hidden="false" customHeight="true" outlineLevel="0" collapsed="false">
      <c r="A349" s="1" t="s">
        <v>516</v>
      </c>
      <c r="B349" s="1" t="s">
        <v>102</v>
      </c>
      <c r="C349" s="1" t="s">
        <v>193</v>
      </c>
    </row>
    <row r="350" customFormat="false" ht="15" hidden="false" customHeight="true" outlineLevel="0" collapsed="false">
      <c r="A350" s="1" t="s">
        <v>517</v>
      </c>
      <c r="B350" s="1" t="s">
        <v>105</v>
      </c>
      <c r="C350" s="1" t="s">
        <v>155</v>
      </c>
    </row>
    <row r="351" customFormat="false" ht="15" hidden="false" customHeight="true" outlineLevel="0" collapsed="false">
      <c r="A351" s="1" t="s">
        <v>518</v>
      </c>
      <c r="B351" s="1" t="s">
        <v>105</v>
      </c>
      <c r="C351" s="1" t="s">
        <v>106</v>
      </c>
    </row>
    <row r="352" customFormat="false" ht="15" hidden="false" customHeight="true" outlineLevel="0" collapsed="false">
      <c r="A352" s="1" t="s">
        <v>519</v>
      </c>
      <c r="B352" s="1" t="s">
        <v>105</v>
      </c>
      <c r="C352" s="1" t="s">
        <v>106</v>
      </c>
    </row>
    <row r="353" customFormat="false" ht="15" hidden="false" customHeight="true" outlineLevel="0" collapsed="false">
      <c r="A353" s="1" t="s">
        <v>520</v>
      </c>
      <c r="B353" s="1" t="s">
        <v>105</v>
      </c>
      <c r="C353" s="1" t="s">
        <v>106</v>
      </c>
    </row>
    <row r="354" customFormat="false" ht="15" hidden="false" customHeight="true" outlineLevel="0" collapsed="false">
      <c r="A354" s="1" t="s">
        <v>521</v>
      </c>
      <c r="B354" s="1" t="s">
        <v>82</v>
      </c>
      <c r="C354" s="1" t="s">
        <v>80</v>
      </c>
    </row>
    <row r="355" customFormat="false" ht="15" hidden="false" customHeight="true" outlineLevel="0" collapsed="false">
      <c r="A355" s="1" t="s">
        <v>522</v>
      </c>
      <c r="B355" s="1" t="s">
        <v>93</v>
      </c>
      <c r="C355" s="1" t="s">
        <v>80</v>
      </c>
    </row>
    <row r="356" customFormat="false" ht="15" hidden="false" customHeight="true" outlineLevel="0" collapsed="false">
      <c r="A356" s="1" t="s">
        <v>523</v>
      </c>
      <c r="B356" s="1" t="s">
        <v>85</v>
      </c>
      <c r="C356" s="1" t="s">
        <v>80</v>
      </c>
    </row>
    <row r="357" customFormat="false" ht="15" hidden="false" customHeight="true" outlineLevel="0" collapsed="false">
      <c r="A357" s="1" t="s">
        <v>524</v>
      </c>
      <c r="B357" s="1" t="s">
        <v>111</v>
      </c>
      <c r="C357" s="1" t="s">
        <v>142</v>
      </c>
    </row>
    <row r="358" customFormat="false" ht="15" hidden="false" customHeight="true" outlineLevel="0" collapsed="false">
      <c r="A358" s="1" t="s">
        <v>525</v>
      </c>
      <c r="B358" s="1" t="s">
        <v>111</v>
      </c>
      <c r="C358" s="1" t="s">
        <v>112</v>
      </c>
    </row>
    <row r="359" customFormat="false" ht="15" hidden="false" customHeight="true" outlineLevel="0" collapsed="false">
      <c r="A359" s="1" t="s">
        <v>526</v>
      </c>
      <c r="B359" s="1" t="s">
        <v>85</v>
      </c>
      <c r="C359" s="1" t="s">
        <v>527</v>
      </c>
    </row>
    <row r="360" customFormat="false" ht="15" hidden="false" customHeight="true" outlineLevel="0" collapsed="false">
      <c r="A360" s="1" t="s">
        <v>528</v>
      </c>
      <c r="B360" s="1" t="s">
        <v>93</v>
      </c>
      <c r="C360" s="1" t="s">
        <v>80</v>
      </c>
    </row>
    <row r="361" customFormat="false" ht="15" hidden="false" customHeight="true" outlineLevel="0" collapsed="false">
      <c r="A361" s="1" t="s">
        <v>529</v>
      </c>
      <c r="B361" s="1" t="s">
        <v>105</v>
      </c>
      <c r="C361" s="1" t="s">
        <v>155</v>
      </c>
    </row>
    <row r="362" customFormat="false" ht="15" hidden="false" customHeight="true" outlineLevel="0" collapsed="false">
      <c r="A362" s="1" t="s">
        <v>530</v>
      </c>
      <c r="B362" s="1" t="s">
        <v>304</v>
      </c>
      <c r="C362" s="1" t="s">
        <v>80</v>
      </c>
    </row>
    <row r="363" customFormat="false" ht="15" hidden="false" customHeight="true" outlineLevel="0" collapsed="false">
      <c r="A363" s="1" t="s">
        <v>531</v>
      </c>
      <c r="B363" s="1" t="s">
        <v>304</v>
      </c>
      <c r="C363" s="1" t="s">
        <v>80</v>
      </c>
    </row>
    <row r="364" customFormat="false" ht="15" hidden="false" customHeight="true" outlineLevel="0" collapsed="false">
      <c r="A364" s="1" t="s">
        <v>532</v>
      </c>
      <c r="B364" s="1" t="s">
        <v>105</v>
      </c>
      <c r="C364" s="1" t="s">
        <v>106</v>
      </c>
    </row>
    <row r="365" customFormat="false" ht="15" hidden="false" customHeight="true" outlineLevel="0" collapsed="false">
      <c r="A365" s="1" t="s">
        <v>533</v>
      </c>
      <c r="B365" s="1" t="s">
        <v>102</v>
      </c>
      <c r="C365" s="1" t="s">
        <v>193</v>
      </c>
    </row>
    <row r="366" customFormat="false" ht="15" hidden="false" customHeight="true" outlineLevel="0" collapsed="false">
      <c r="A366" s="1" t="s">
        <v>534</v>
      </c>
      <c r="B366" s="1" t="s">
        <v>79</v>
      </c>
      <c r="C366" s="1" t="s">
        <v>80</v>
      </c>
    </row>
    <row r="367" customFormat="false" ht="15" hidden="false" customHeight="true" outlineLevel="0" collapsed="false">
      <c r="A367" s="1" t="s">
        <v>535</v>
      </c>
      <c r="B367" s="1" t="s">
        <v>79</v>
      </c>
      <c r="C367" s="1" t="s">
        <v>80</v>
      </c>
    </row>
    <row r="368" customFormat="false" ht="15" hidden="false" customHeight="true" outlineLevel="0" collapsed="false">
      <c r="A368" s="1" t="s">
        <v>536</v>
      </c>
      <c r="B368" s="1" t="s">
        <v>93</v>
      </c>
      <c r="C368" s="1" t="s">
        <v>537</v>
      </c>
    </row>
    <row r="369" customFormat="false" ht="15" hidden="false" customHeight="true" outlineLevel="0" collapsed="false">
      <c r="A369" s="1" t="s">
        <v>538</v>
      </c>
      <c r="B369" s="1" t="s">
        <v>85</v>
      </c>
      <c r="C369" s="1" t="s">
        <v>539</v>
      </c>
    </row>
    <row r="370" customFormat="false" ht="15" hidden="false" customHeight="true" outlineLevel="0" collapsed="false">
      <c r="A370" s="1" t="s">
        <v>540</v>
      </c>
      <c r="B370" s="1" t="s">
        <v>93</v>
      </c>
      <c r="C370" s="1" t="s">
        <v>541</v>
      </c>
    </row>
    <row r="371" customFormat="false" ht="15" hidden="false" customHeight="true" outlineLevel="0" collapsed="false">
      <c r="A371" s="1" t="s">
        <v>542</v>
      </c>
      <c r="B371" s="1" t="s">
        <v>93</v>
      </c>
      <c r="C371" s="1" t="s">
        <v>227</v>
      </c>
    </row>
    <row r="372" customFormat="false" ht="15" hidden="false" customHeight="true" outlineLevel="0" collapsed="false">
      <c r="A372" s="1" t="s">
        <v>543</v>
      </c>
      <c r="B372" s="1" t="s">
        <v>126</v>
      </c>
      <c r="C372" s="1" t="s">
        <v>544</v>
      </c>
    </row>
    <row r="373" customFormat="false" ht="15" hidden="false" customHeight="true" outlineLevel="0" collapsed="false">
      <c r="A373" s="1" t="s">
        <v>545</v>
      </c>
      <c r="B373" s="1" t="s">
        <v>85</v>
      </c>
      <c r="C373" s="1" t="s">
        <v>102</v>
      </c>
    </row>
    <row r="374" customFormat="false" ht="15" hidden="false" customHeight="true" outlineLevel="0" collapsed="false">
      <c r="A374" s="1" t="s">
        <v>546</v>
      </c>
      <c r="B374" s="1" t="s">
        <v>82</v>
      </c>
      <c r="C374" s="1" t="s">
        <v>547</v>
      </c>
    </row>
    <row r="375" customFormat="false" ht="15" hidden="false" customHeight="true" outlineLevel="0" collapsed="false">
      <c r="A375" s="1" t="s">
        <v>548</v>
      </c>
      <c r="B375" s="1" t="s">
        <v>79</v>
      </c>
      <c r="C375" s="1" t="s">
        <v>549</v>
      </c>
    </row>
    <row r="376" customFormat="false" ht="15" hidden="false" customHeight="true" outlineLevel="0" collapsed="false">
      <c r="A376" s="1" t="s">
        <v>550</v>
      </c>
      <c r="B376" s="1" t="s">
        <v>85</v>
      </c>
      <c r="C376" s="1" t="s">
        <v>551</v>
      </c>
    </row>
    <row r="377" customFormat="false" ht="15" hidden="false" customHeight="true" outlineLevel="0" collapsed="false">
      <c r="A377" s="1" t="s">
        <v>552</v>
      </c>
      <c r="B377" s="1" t="s">
        <v>155</v>
      </c>
      <c r="C377" s="1" t="s">
        <v>553</v>
      </c>
    </row>
    <row r="378" customFormat="false" ht="15" hidden="false" customHeight="true" outlineLevel="0" collapsed="false">
      <c r="A378" s="1" t="s">
        <v>554</v>
      </c>
      <c r="B378" s="1" t="s">
        <v>82</v>
      </c>
      <c r="C378" s="1" t="s">
        <v>555</v>
      </c>
    </row>
    <row r="379" customFormat="false" ht="15" hidden="false" customHeight="true" outlineLevel="0" collapsed="false">
      <c r="A379" s="1" t="s">
        <v>556</v>
      </c>
      <c r="B379" s="1" t="s">
        <v>82</v>
      </c>
      <c r="C379" s="1" t="s">
        <v>145</v>
      </c>
    </row>
    <row r="380" customFormat="false" ht="15" hidden="false" customHeight="true" outlineLevel="0" collapsed="false">
      <c r="A380" s="1" t="s">
        <v>557</v>
      </c>
      <c r="B380" s="1" t="s">
        <v>102</v>
      </c>
      <c r="C380" s="1" t="s">
        <v>558</v>
      </c>
    </row>
    <row r="381" customFormat="false" ht="15" hidden="false" customHeight="true" outlineLevel="0" collapsed="false">
      <c r="A381" s="1" t="s">
        <v>559</v>
      </c>
      <c r="B381" s="1" t="s">
        <v>79</v>
      </c>
      <c r="C381" s="1" t="s">
        <v>90</v>
      </c>
    </row>
    <row r="382" customFormat="false" ht="15" hidden="false" customHeight="true" outlineLevel="0" collapsed="false">
      <c r="A382" s="1" t="s">
        <v>560</v>
      </c>
      <c r="B382" s="1" t="s">
        <v>85</v>
      </c>
      <c r="C382" s="1" t="s">
        <v>79</v>
      </c>
    </row>
    <row r="383" customFormat="false" ht="15" hidden="false" customHeight="true" outlineLevel="0" collapsed="false">
      <c r="A383" s="1" t="s">
        <v>561</v>
      </c>
      <c r="B383" s="1" t="s">
        <v>93</v>
      </c>
      <c r="C383" s="1" t="s">
        <v>466</v>
      </c>
    </row>
    <row r="384" customFormat="false" ht="15" hidden="false" customHeight="true" outlineLevel="0" collapsed="false">
      <c r="A384" s="1" t="s">
        <v>562</v>
      </c>
      <c r="B384" s="1" t="s">
        <v>85</v>
      </c>
      <c r="C384" s="1" t="s">
        <v>102</v>
      </c>
    </row>
    <row r="385" customFormat="false" ht="15" hidden="false" customHeight="true" outlineLevel="0" collapsed="false">
      <c r="A385" s="1" t="s">
        <v>563</v>
      </c>
      <c r="B385" s="1" t="s">
        <v>85</v>
      </c>
      <c r="C385" s="1" t="s">
        <v>102</v>
      </c>
    </row>
    <row r="386" customFormat="false" ht="15" hidden="false" customHeight="true" outlineLevel="0" collapsed="false">
      <c r="A386" s="1" t="s">
        <v>564</v>
      </c>
      <c r="B386" s="1" t="s">
        <v>122</v>
      </c>
      <c r="C386" s="1" t="s">
        <v>565</v>
      </c>
    </row>
    <row r="387" customFormat="false" ht="15" hidden="false" customHeight="true" outlineLevel="0" collapsed="false">
      <c r="A387" s="1" t="s">
        <v>566</v>
      </c>
      <c r="B387" s="1" t="s">
        <v>85</v>
      </c>
      <c r="C387" s="1" t="s">
        <v>567</v>
      </c>
    </row>
    <row r="388" customFormat="false" ht="15" hidden="false" customHeight="true" outlineLevel="0" collapsed="false">
      <c r="A388" s="1" t="s">
        <v>568</v>
      </c>
      <c r="B388" s="1" t="s">
        <v>85</v>
      </c>
      <c r="C388" s="1" t="s">
        <v>569</v>
      </c>
    </row>
    <row r="389" customFormat="false" ht="15" hidden="false" customHeight="true" outlineLevel="0" collapsed="false">
      <c r="A389" s="1" t="s">
        <v>570</v>
      </c>
      <c r="B389" s="1" t="s">
        <v>85</v>
      </c>
      <c r="C389" s="1" t="s">
        <v>571</v>
      </c>
    </row>
    <row r="390" customFormat="false" ht="15" hidden="false" customHeight="true" outlineLevel="0" collapsed="false">
      <c r="A390" s="1" t="s">
        <v>572</v>
      </c>
      <c r="B390" s="1" t="s">
        <v>79</v>
      </c>
      <c r="C390" s="1" t="s">
        <v>374</v>
      </c>
    </row>
    <row r="391" customFormat="false" ht="15" hidden="false" customHeight="true" outlineLevel="0" collapsed="false">
      <c r="A391" s="1" t="s">
        <v>573</v>
      </c>
      <c r="B391" s="1" t="s">
        <v>142</v>
      </c>
      <c r="C391" s="1" t="s">
        <v>574</v>
      </c>
    </row>
    <row r="392" customFormat="false" ht="15" hidden="false" customHeight="true" outlineLevel="0" collapsed="false">
      <c r="A392" s="1" t="s">
        <v>575</v>
      </c>
      <c r="B392" s="1" t="s">
        <v>117</v>
      </c>
      <c r="C392" s="1" t="s">
        <v>576</v>
      </c>
    </row>
    <row r="393" customFormat="false" ht="15" hidden="false" customHeight="true" outlineLevel="0" collapsed="false">
      <c r="A393" s="1" t="s">
        <v>577</v>
      </c>
      <c r="B393" s="1" t="s">
        <v>83</v>
      </c>
      <c r="C393" s="1" t="s">
        <v>138</v>
      </c>
    </row>
    <row r="394" customFormat="false" ht="15" hidden="false" customHeight="true" outlineLevel="0" collapsed="false">
      <c r="A394" s="1" t="s">
        <v>578</v>
      </c>
      <c r="B394" s="1" t="s">
        <v>79</v>
      </c>
      <c r="C394" s="1" t="s">
        <v>80</v>
      </c>
    </row>
    <row r="395" customFormat="false" ht="15" hidden="false" customHeight="true" outlineLevel="0" collapsed="false">
      <c r="A395" s="1" t="s">
        <v>579</v>
      </c>
      <c r="B395" s="1" t="s">
        <v>82</v>
      </c>
      <c r="C395" s="1" t="s">
        <v>234</v>
      </c>
    </row>
    <row r="396" customFormat="false" ht="15" hidden="false" customHeight="true" outlineLevel="0" collapsed="false">
      <c r="A396" s="1" t="s">
        <v>580</v>
      </c>
      <c r="B396" s="1" t="s">
        <v>85</v>
      </c>
      <c r="C396" s="1" t="s">
        <v>79</v>
      </c>
    </row>
    <row r="397" customFormat="false" ht="15" hidden="false" customHeight="true" outlineLevel="0" collapsed="false">
      <c r="A397" s="1" t="s">
        <v>581</v>
      </c>
      <c r="B397" s="1" t="s">
        <v>79</v>
      </c>
      <c r="C397" s="1" t="s">
        <v>80</v>
      </c>
    </row>
    <row r="398" customFormat="false" ht="15" hidden="false" customHeight="true" outlineLevel="0" collapsed="false">
      <c r="A398" s="1" t="s">
        <v>582</v>
      </c>
      <c r="B398" s="1" t="s">
        <v>102</v>
      </c>
      <c r="C398" s="1" t="s">
        <v>80</v>
      </c>
    </row>
    <row r="399" customFormat="false" ht="15" hidden="false" customHeight="true" outlineLevel="0" collapsed="false">
      <c r="A399" s="1" t="s">
        <v>583</v>
      </c>
      <c r="B399" s="1" t="s">
        <v>96</v>
      </c>
      <c r="C399" s="1" t="s">
        <v>80</v>
      </c>
    </row>
    <row r="400" customFormat="false" ht="15" hidden="false" customHeight="true" outlineLevel="0" collapsed="false">
      <c r="A400" s="1" t="s">
        <v>584</v>
      </c>
      <c r="B400" s="1" t="s">
        <v>142</v>
      </c>
      <c r="C400" s="1" t="s">
        <v>263</v>
      </c>
    </row>
    <row r="401" customFormat="false" ht="15" hidden="false" customHeight="true" outlineLevel="0" collapsed="false">
      <c r="A401" s="1" t="s">
        <v>585</v>
      </c>
      <c r="B401" s="1" t="s">
        <v>93</v>
      </c>
      <c r="C401" s="1" t="s">
        <v>93</v>
      </c>
    </row>
    <row r="402" customFormat="false" ht="15" hidden="false" customHeight="true" outlineLevel="0" collapsed="false">
      <c r="A402" s="1" t="s">
        <v>586</v>
      </c>
      <c r="B402" s="1" t="s">
        <v>117</v>
      </c>
      <c r="C402" s="1" t="s">
        <v>587</v>
      </c>
    </row>
    <row r="403" customFormat="false" ht="15" hidden="false" customHeight="true" outlineLevel="0" collapsed="false">
      <c r="A403" s="1" t="s">
        <v>588</v>
      </c>
      <c r="B403" s="1" t="s">
        <v>142</v>
      </c>
      <c r="C403" s="1" t="s">
        <v>263</v>
      </c>
    </row>
    <row r="404" customFormat="false" ht="15" hidden="false" customHeight="true" outlineLevel="0" collapsed="false">
      <c r="A404" s="1" t="s">
        <v>589</v>
      </c>
      <c r="B404" s="1" t="s">
        <v>117</v>
      </c>
      <c r="C404" s="1" t="s">
        <v>590</v>
      </c>
    </row>
    <row r="405" customFormat="false" ht="15" hidden="false" customHeight="true" outlineLevel="0" collapsed="false">
      <c r="A405" s="1" t="s">
        <v>591</v>
      </c>
      <c r="B405" s="1" t="s">
        <v>79</v>
      </c>
      <c r="C405" s="1" t="s">
        <v>592</v>
      </c>
    </row>
    <row r="406" customFormat="false" ht="15" hidden="false" customHeight="true" outlineLevel="0" collapsed="false">
      <c r="A406" s="1" t="s">
        <v>593</v>
      </c>
      <c r="B406" s="1" t="s">
        <v>85</v>
      </c>
      <c r="C406" s="1" t="s">
        <v>594</v>
      </c>
    </row>
    <row r="407" customFormat="false" ht="15" hidden="false" customHeight="true" outlineLevel="0" collapsed="false">
      <c r="A407" s="1" t="s">
        <v>595</v>
      </c>
      <c r="B407" s="1" t="s">
        <v>87</v>
      </c>
      <c r="C407" s="1" t="s">
        <v>596</v>
      </c>
    </row>
    <row r="408" customFormat="false" ht="15" hidden="false" customHeight="true" outlineLevel="0" collapsed="false">
      <c r="A408" s="1" t="s">
        <v>597</v>
      </c>
      <c r="B408" s="1" t="s">
        <v>87</v>
      </c>
      <c r="C408" s="1" t="s">
        <v>596</v>
      </c>
    </row>
    <row r="409" customFormat="false" ht="15" hidden="false" customHeight="true" outlineLevel="0" collapsed="false">
      <c r="A409" s="1" t="s">
        <v>598</v>
      </c>
      <c r="B409" s="1" t="s">
        <v>87</v>
      </c>
      <c r="C409" s="1" t="s">
        <v>596</v>
      </c>
    </row>
    <row r="410" customFormat="false" ht="15" hidden="false" customHeight="true" outlineLevel="0" collapsed="false">
      <c r="A410" s="1" t="s">
        <v>599</v>
      </c>
      <c r="B410" s="1" t="s">
        <v>85</v>
      </c>
      <c r="C410" s="1" t="s">
        <v>80</v>
      </c>
    </row>
    <row r="411" customFormat="false" ht="15" hidden="false" customHeight="true" outlineLevel="0" collapsed="false">
      <c r="A411" s="1" t="s">
        <v>600</v>
      </c>
      <c r="B411" s="1" t="s">
        <v>142</v>
      </c>
      <c r="C411" s="1" t="s">
        <v>80</v>
      </c>
    </row>
    <row r="412" customFormat="false" ht="15" hidden="false" customHeight="true" outlineLevel="0" collapsed="false">
      <c r="A412" s="1" t="s">
        <v>601</v>
      </c>
      <c r="B412" s="1" t="s">
        <v>105</v>
      </c>
      <c r="C412" s="1" t="s">
        <v>155</v>
      </c>
    </row>
    <row r="413" customFormat="false" ht="15" hidden="false" customHeight="true" outlineLevel="0" collapsed="false">
      <c r="A413" s="1" t="s">
        <v>602</v>
      </c>
      <c r="B413" s="1" t="s">
        <v>82</v>
      </c>
      <c r="C413" s="1" t="s">
        <v>80</v>
      </c>
    </row>
    <row r="414" customFormat="false" ht="15" hidden="false" customHeight="true" outlineLevel="0" collapsed="false">
      <c r="A414" s="1" t="s">
        <v>19</v>
      </c>
      <c r="B414" s="1" t="s">
        <v>93</v>
      </c>
      <c r="C414" s="1" t="s">
        <v>80</v>
      </c>
    </row>
    <row r="415" customFormat="false" ht="15" hidden="false" customHeight="true" outlineLevel="0" collapsed="false">
      <c r="A415" s="1" t="s">
        <v>603</v>
      </c>
      <c r="B415" s="1" t="s">
        <v>117</v>
      </c>
      <c r="C415" s="1" t="s">
        <v>82</v>
      </c>
    </row>
    <row r="416" customFormat="false" ht="15" hidden="false" customHeight="true" outlineLevel="0" collapsed="false">
      <c r="A416" s="1" t="s">
        <v>30</v>
      </c>
      <c r="B416" s="1" t="s">
        <v>93</v>
      </c>
      <c r="C416" s="1" t="s">
        <v>169</v>
      </c>
    </row>
    <row r="417" customFormat="false" ht="15" hidden="false" customHeight="true" outlineLevel="0" collapsed="false">
      <c r="A417" s="1" t="s">
        <v>604</v>
      </c>
      <c r="B417" s="1" t="s">
        <v>79</v>
      </c>
      <c r="C417" s="1" t="s">
        <v>80</v>
      </c>
    </row>
    <row r="418" customFormat="false" ht="15" hidden="false" customHeight="true" outlineLevel="0" collapsed="false">
      <c r="A418" s="1" t="s">
        <v>37</v>
      </c>
      <c r="B418" s="1" t="s">
        <v>105</v>
      </c>
      <c r="C418" s="1" t="s">
        <v>155</v>
      </c>
    </row>
    <row r="419" customFormat="false" ht="15" hidden="false" customHeight="true" outlineLevel="0" collapsed="false">
      <c r="A419" s="1" t="s">
        <v>605</v>
      </c>
      <c r="B419" s="1" t="s">
        <v>93</v>
      </c>
      <c r="C419" s="1" t="s">
        <v>227</v>
      </c>
    </row>
    <row r="420" customFormat="false" ht="15" hidden="false" customHeight="true" outlineLevel="0" collapsed="false">
      <c r="A420" s="1" t="s">
        <v>606</v>
      </c>
      <c r="B420" s="1" t="s">
        <v>105</v>
      </c>
      <c r="C420" s="1" t="s">
        <v>155</v>
      </c>
    </row>
    <row r="421" customFormat="false" ht="15" hidden="false" customHeight="true" outlineLevel="0" collapsed="false">
      <c r="A421" s="1" t="s">
        <v>607</v>
      </c>
      <c r="B421" s="1" t="s">
        <v>111</v>
      </c>
      <c r="C421" s="1" t="s">
        <v>142</v>
      </c>
    </row>
    <row r="422" customFormat="false" ht="15" hidden="false" customHeight="true" outlineLevel="0" collapsed="false">
      <c r="A422" s="1" t="s">
        <v>26</v>
      </c>
      <c r="B422" s="1" t="s">
        <v>105</v>
      </c>
      <c r="C422" s="1" t="s">
        <v>155</v>
      </c>
    </row>
    <row r="423" customFormat="false" ht="15" hidden="false" customHeight="true" outlineLevel="0" collapsed="false">
      <c r="A423" s="1" t="s">
        <v>608</v>
      </c>
      <c r="B423" s="1" t="s">
        <v>142</v>
      </c>
      <c r="C423" s="1" t="s">
        <v>263</v>
      </c>
    </row>
    <row r="424" customFormat="false" ht="15" hidden="false" customHeight="true" outlineLevel="0" collapsed="false">
      <c r="A424" s="1" t="s">
        <v>31</v>
      </c>
      <c r="B424" s="1" t="s">
        <v>85</v>
      </c>
      <c r="C424" s="1" t="s">
        <v>102</v>
      </c>
    </row>
    <row r="425" customFormat="false" ht="15" hidden="false" customHeight="true" outlineLevel="0" collapsed="false">
      <c r="A425" s="1" t="s">
        <v>609</v>
      </c>
      <c r="B425" s="1" t="s">
        <v>122</v>
      </c>
      <c r="C425" s="1" t="s">
        <v>96</v>
      </c>
    </row>
    <row r="426" customFormat="false" ht="15" hidden="false" customHeight="true" outlineLevel="0" collapsed="false">
      <c r="A426" s="1" t="s">
        <v>610</v>
      </c>
      <c r="B426" s="1" t="s">
        <v>82</v>
      </c>
      <c r="C426" s="1" t="s">
        <v>611</v>
      </c>
    </row>
    <row r="427" customFormat="false" ht="15" hidden="false" customHeight="true" outlineLevel="0" collapsed="false">
      <c r="A427" s="1" t="s">
        <v>612</v>
      </c>
      <c r="B427" s="1" t="s">
        <v>82</v>
      </c>
      <c r="C427" s="1" t="s">
        <v>613</v>
      </c>
    </row>
    <row r="428" customFormat="false" ht="15" hidden="false" customHeight="true" outlineLevel="0" collapsed="false">
      <c r="A428" s="1" t="s">
        <v>614</v>
      </c>
      <c r="B428" s="1" t="s">
        <v>93</v>
      </c>
      <c r="C428" s="1" t="s">
        <v>169</v>
      </c>
    </row>
    <row r="429" customFormat="false" ht="15" hidden="false" customHeight="true" outlineLevel="0" collapsed="false">
      <c r="A429" s="1" t="s">
        <v>615</v>
      </c>
      <c r="B429" s="1" t="s">
        <v>85</v>
      </c>
      <c r="C429" s="1" t="s">
        <v>616</v>
      </c>
    </row>
    <row r="430" customFormat="false" ht="15" hidden="false" customHeight="true" outlineLevel="0" collapsed="false">
      <c r="A430" s="1" t="s">
        <v>617</v>
      </c>
      <c r="B430" s="1" t="s">
        <v>142</v>
      </c>
      <c r="C430" s="1" t="s">
        <v>302</v>
      </c>
    </row>
    <row r="431" customFormat="false" ht="15" hidden="false" customHeight="true" outlineLevel="0" collapsed="false">
      <c r="A431" s="1" t="s">
        <v>618</v>
      </c>
      <c r="B431" s="1" t="s">
        <v>93</v>
      </c>
      <c r="C431" s="1" t="s">
        <v>80</v>
      </c>
    </row>
    <row r="432" customFormat="false" ht="15" hidden="false" customHeight="true" outlineLevel="0" collapsed="false">
      <c r="A432" s="1" t="s">
        <v>619</v>
      </c>
      <c r="B432" s="1" t="s">
        <v>105</v>
      </c>
      <c r="C432" s="1" t="s">
        <v>85</v>
      </c>
    </row>
    <row r="433" customFormat="false" ht="15" hidden="false" customHeight="true" outlineLevel="0" collapsed="false">
      <c r="A433" s="1" t="s">
        <v>620</v>
      </c>
      <c r="B433" s="1" t="s">
        <v>102</v>
      </c>
      <c r="C433" s="1" t="s">
        <v>80</v>
      </c>
    </row>
    <row r="434" customFormat="false" ht="15" hidden="false" customHeight="true" outlineLevel="0" collapsed="false">
      <c r="A434" s="1" t="s">
        <v>621</v>
      </c>
      <c r="B434" s="1" t="s">
        <v>85</v>
      </c>
      <c r="C434" s="1" t="s">
        <v>622</v>
      </c>
    </row>
    <row r="435" customFormat="false" ht="15" hidden="false" customHeight="true" outlineLevel="0" collapsed="false">
      <c r="A435" s="1" t="s">
        <v>623</v>
      </c>
      <c r="B435" s="1" t="s">
        <v>126</v>
      </c>
      <c r="C435" s="1" t="s">
        <v>80</v>
      </c>
    </row>
    <row r="436" customFormat="false" ht="15" hidden="false" customHeight="true" outlineLevel="0" collapsed="false">
      <c r="A436" s="1" t="s">
        <v>624</v>
      </c>
      <c r="B436" s="1" t="s">
        <v>79</v>
      </c>
      <c r="C436" s="1" t="s">
        <v>80</v>
      </c>
    </row>
    <row r="437" customFormat="false" ht="15" hidden="false" customHeight="true" outlineLevel="0" collapsed="false">
      <c r="A437" s="1" t="s">
        <v>625</v>
      </c>
      <c r="B437" s="1" t="s">
        <v>82</v>
      </c>
      <c r="C437" s="1" t="s">
        <v>613</v>
      </c>
    </row>
    <row r="438" customFormat="false" ht="15" hidden="false" customHeight="true" outlineLevel="0" collapsed="false">
      <c r="A438" s="1" t="s">
        <v>626</v>
      </c>
      <c r="B438" s="1" t="s">
        <v>93</v>
      </c>
      <c r="C438" s="1" t="s">
        <v>169</v>
      </c>
    </row>
    <row r="439" customFormat="false" ht="15" hidden="false" customHeight="true" outlineLevel="0" collapsed="false">
      <c r="A439" s="1" t="s">
        <v>627</v>
      </c>
      <c r="B439" s="1" t="s">
        <v>87</v>
      </c>
      <c r="C439" s="1" t="s">
        <v>80</v>
      </c>
    </row>
    <row r="440" customFormat="false" ht="15" hidden="false" customHeight="true" outlineLevel="0" collapsed="false">
      <c r="A440" s="1" t="s">
        <v>628</v>
      </c>
      <c r="B440" s="1" t="s">
        <v>95</v>
      </c>
      <c r="C440" s="1" t="s">
        <v>80</v>
      </c>
    </row>
    <row r="441" customFormat="false" ht="15" hidden="false" customHeight="true" outlineLevel="0" collapsed="false">
      <c r="A441" s="1" t="s">
        <v>629</v>
      </c>
      <c r="B441" s="1" t="s">
        <v>111</v>
      </c>
      <c r="C441" s="1" t="s">
        <v>630</v>
      </c>
    </row>
    <row r="442" customFormat="false" ht="15" hidden="false" customHeight="true" outlineLevel="0" collapsed="false">
      <c r="A442" s="1" t="s">
        <v>631</v>
      </c>
      <c r="B442" s="1" t="s">
        <v>95</v>
      </c>
      <c r="C442" s="1" t="s">
        <v>80</v>
      </c>
    </row>
    <row r="443" customFormat="false" ht="15" hidden="false" customHeight="true" outlineLevel="0" collapsed="false">
      <c r="A443" s="1" t="s">
        <v>632</v>
      </c>
      <c r="B443" s="1" t="s">
        <v>102</v>
      </c>
      <c r="C443" s="1" t="s">
        <v>80</v>
      </c>
    </row>
    <row r="444" customFormat="false" ht="15" hidden="false" customHeight="true" outlineLevel="0" collapsed="false">
      <c r="A444" s="1" t="s">
        <v>633</v>
      </c>
      <c r="B444" s="1" t="s">
        <v>102</v>
      </c>
      <c r="C444" s="1" t="s">
        <v>80</v>
      </c>
    </row>
    <row r="445" customFormat="false" ht="15" hidden="false" customHeight="true" outlineLevel="0" collapsed="false">
      <c r="A445" s="1" t="s">
        <v>634</v>
      </c>
      <c r="B445" s="1" t="s">
        <v>493</v>
      </c>
      <c r="C445" s="1" t="s">
        <v>80</v>
      </c>
    </row>
    <row r="446" customFormat="false" ht="15" hidden="false" customHeight="true" outlineLevel="0" collapsed="false">
      <c r="A446" s="1" t="s">
        <v>635</v>
      </c>
      <c r="B446" s="1" t="s">
        <v>102</v>
      </c>
      <c r="C446" s="1" t="s">
        <v>193</v>
      </c>
    </row>
    <row r="447" customFormat="false" ht="15" hidden="false" customHeight="true" outlineLevel="0" collapsed="false">
      <c r="A447" s="1" t="s">
        <v>636</v>
      </c>
      <c r="B447" s="1" t="s">
        <v>304</v>
      </c>
      <c r="C447" s="1" t="s">
        <v>80</v>
      </c>
    </row>
    <row r="448" customFormat="false" ht="15" hidden="false" customHeight="true" outlineLevel="0" collapsed="false">
      <c r="A448" s="1" t="s">
        <v>637</v>
      </c>
      <c r="B448" s="1" t="s">
        <v>304</v>
      </c>
      <c r="C448" s="1" t="s">
        <v>80</v>
      </c>
    </row>
    <row r="449" customFormat="false" ht="15" hidden="false" customHeight="true" outlineLevel="0" collapsed="false">
      <c r="A449" s="1" t="s">
        <v>638</v>
      </c>
      <c r="B449" s="1" t="s">
        <v>117</v>
      </c>
      <c r="C449" s="1" t="s">
        <v>493</v>
      </c>
    </row>
    <row r="450" customFormat="false" ht="15" hidden="false" customHeight="true" outlineLevel="0" collapsed="false">
      <c r="A450" s="1" t="s">
        <v>639</v>
      </c>
      <c r="B450" s="1" t="s">
        <v>82</v>
      </c>
      <c r="C450" s="1" t="s">
        <v>83</v>
      </c>
    </row>
    <row r="451" customFormat="false" ht="15" hidden="false" customHeight="true" outlineLevel="0" collapsed="false">
      <c r="A451" s="1" t="s">
        <v>640</v>
      </c>
      <c r="B451" s="1" t="s">
        <v>95</v>
      </c>
      <c r="C451" s="1" t="s">
        <v>80</v>
      </c>
    </row>
    <row r="452" customFormat="false" ht="15" hidden="false" customHeight="true" outlineLevel="0" collapsed="false">
      <c r="A452" s="1" t="s">
        <v>32</v>
      </c>
      <c r="B452" s="1" t="s">
        <v>82</v>
      </c>
      <c r="C452" s="1" t="s">
        <v>80</v>
      </c>
    </row>
    <row r="453" customFormat="false" ht="15" hidden="false" customHeight="true" outlineLevel="0" collapsed="false">
      <c r="A453" s="1" t="s">
        <v>641</v>
      </c>
      <c r="B453" s="1" t="s">
        <v>93</v>
      </c>
      <c r="C453" s="1" t="s">
        <v>169</v>
      </c>
    </row>
    <row r="454" customFormat="false" ht="15" hidden="false" customHeight="true" outlineLevel="0" collapsed="false">
      <c r="A454" s="1" t="s">
        <v>642</v>
      </c>
      <c r="B454" s="1" t="s">
        <v>85</v>
      </c>
      <c r="C454" s="1" t="s">
        <v>80</v>
      </c>
    </row>
    <row r="455" customFormat="false" ht="15" hidden="false" customHeight="true" outlineLevel="0" collapsed="false">
      <c r="A455" s="1" t="s">
        <v>643</v>
      </c>
      <c r="B455" s="1" t="s">
        <v>93</v>
      </c>
      <c r="C455" s="1" t="s">
        <v>80</v>
      </c>
    </row>
    <row r="456" customFormat="false" ht="15" hidden="false" customHeight="true" outlineLevel="0" collapsed="false">
      <c r="A456" s="1" t="s">
        <v>644</v>
      </c>
      <c r="B456" s="1" t="s">
        <v>85</v>
      </c>
      <c r="C456" s="1" t="s">
        <v>80</v>
      </c>
    </row>
    <row r="457" customFormat="false" ht="15" hidden="false" customHeight="true" outlineLevel="0" collapsed="false">
      <c r="A457" s="1" t="s">
        <v>645</v>
      </c>
      <c r="B457" s="1" t="s">
        <v>95</v>
      </c>
      <c r="C457" s="1" t="s">
        <v>80</v>
      </c>
    </row>
    <row r="458" customFormat="false" ht="15" hidden="false" customHeight="true" outlineLevel="0" collapsed="false">
      <c r="A458" s="1" t="s">
        <v>646</v>
      </c>
      <c r="B458" s="1" t="s">
        <v>111</v>
      </c>
      <c r="C458" s="1" t="s">
        <v>112</v>
      </c>
    </row>
    <row r="459" customFormat="false" ht="15" hidden="false" customHeight="true" outlineLevel="0" collapsed="false">
      <c r="A459" s="1" t="s">
        <v>647</v>
      </c>
      <c r="B459" s="1" t="s">
        <v>102</v>
      </c>
      <c r="C459" s="1" t="s">
        <v>80</v>
      </c>
    </row>
    <row r="460" customFormat="false" ht="15" hidden="false" customHeight="true" outlineLevel="0" collapsed="false">
      <c r="A460" s="1" t="s">
        <v>648</v>
      </c>
      <c r="B460" s="1" t="s">
        <v>105</v>
      </c>
      <c r="C460" s="1" t="s">
        <v>155</v>
      </c>
    </row>
    <row r="461" customFormat="false" ht="15" hidden="false" customHeight="true" outlineLevel="0" collapsed="false">
      <c r="A461" s="1" t="s">
        <v>649</v>
      </c>
      <c r="B461" s="1" t="s">
        <v>95</v>
      </c>
      <c r="C461" s="1" t="s">
        <v>80</v>
      </c>
    </row>
    <row r="462" customFormat="false" ht="15" hidden="false" customHeight="true" outlineLevel="0" collapsed="false">
      <c r="A462" s="1" t="s">
        <v>16</v>
      </c>
      <c r="B462" s="1" t="s">
        <v>95</v>
      </c>
      <c r="C462" s="1" t="s">
        <v>80</v>
      </c>
    </row>
    <row r="463" customFormat="false" ht="15" hidden="false" customHeight="true" outlineLevel="0" collapsed="false">
      <c r="A463" s="1" t="s">
        <v>650</v>
      </c>
      <c r="B463" s="1" t="s">
        <v>85</v>
      </c>
      <c r="C463" s="1" t="s">
        <v>102</v>
      </c>
    </row>
    <row r="464" customFormat="false" ht="15" hidden="false" customHeight="true" outlineLevel="0" collapsed="false">
      <c r="A464" s="1" t="s">
        <v>17</v>
      </c>
      <c r="B464" s="1" t="s">
        <v>102</v>
      </c>
      <c r="C464" s="1" t="s">
        <v>80</v>
      </c>
    </row>
    <row r="465" customFormat="false" ht="15" hidden="false" customHeight="true" outlineLevel="0" collapsed="false">
      <c r="A465" s="1" t="s">
        <v>651</v>
      </c>
      <c r="B465" s="1" t="s">
        <v>105</v>
      </c>
      <c r="C465" s="1" t="s">
        <v>155</v>
      </c>
    </row>
    <row r="466" customFormat="false" ht="15" hidden="false" customHeight="true" outlineLevel="0" collapsed="false">
      <c r="A466" s="1" t="s">
        <v>652</v>
      </c>
      <c r="B466" s="1" t="s">
        <v>79</v>
      </c>
      <c r="C466" s="1" t="s">
        <v>85</v>
      </c>
    </row>
    <row r="467" customFormat="false" ht="15" hidden="false" customHeight="true" outlineLevel="0" collapsed="false">
      <c r="A467" s="1" t="s">
        <v>653</v>
      </c>
      <c r="B467" s="1" t="s">
        <v>85</v>
      </c>
      <c r="C467" s="1" t="s">
        <v>654</v>
      </c>
    </row>
    <row r="468" customFormat="false" ht="15" hidden="false" customHeight="true" outlineLevel="0" collapsed="false">
      <c r="A468" s="1" t="s">
        <v>655</v>
      </c>
      <c r="B468" s="1" t="s">
        <v>111</v>
      </c>
      <c r="C468" s="1" t="s">
        <v>80</v>
      </c>
    </row>
    <row r="469" customFormat="false" ht="15" hidden="false" customHeight="true" outlineLevel="0" collapsed="false">
      <c r="A469" s="1" t="s">
        <v>656</v>
      </c>
      <c r="B469" s="1" t="s">
        <v>111</v>
      </c>
      <c r="C469" s="1" t="s">
        <v>657</v>
      </c>
    </row>
    <row r="470" customFormat="false" ht="15" hidden="false" customHeight="true" outlineLevel="0" collapsed="false">
      <c r="A470" s="1" t="s">
        <v>658</v>
      </c>
      <c r="B470" s="1" t="s">
        <v>111</v>
      </c>
      <c r="C470" s="1" t="s">
        <v>112</v>
      </c>
    </row>
    <row r="471" customFormat="false" ht="15" hidden="false" customHeight="true" outlineLevel="0" collapsed="false">
      <c r="A471" s="1" t="s">
        <v>659</v>
      </c>
      <c r="B471" s="1" t="s">
        <v>493</v>
      </c>
      <c r="C471" s="1" t="s">
        <v>80</v>
      </c>
    </row>
    <row r="472" customFormat="false" ht="15" hidden="false" customHeight="true" outlineLevel="0" collapsed="false">
      <c r="A472" s="1" t="s">
        <v>660</v>
      </c>
      <c r="B472" s="1" t="s">
        <v>93</v>
      </c>
      <c r="C472" s="1" t="s">
        <v>661</v>
      </c>
    </row>
    <row r="473" customFormat="false" ht="15" hidden="false" customHeight="true" outlineLevel="0" collapsed="false">
      <c r="A473" s="1" t="s">
        <v>662</v>
      </c>
      <c r="B473" s="1" t="s">
        <v>82</v>
      </c>
      <c r="C473" s="1" t="s">
        <v>611</v>
      </c>
    </row>
    <row r="474" customFormat="false" ht="15" hidden="false" customHeight="true" outlineLevel="0" collapsed="false">
      <c r="A474" s="1" t="s">
        <v>663</v>
      </c>
      <c r="B474" s="1" t="s">
        <v>82</v>
      </c>
      <c r="C474" s="1" t="s">
        <v>664</v>
      </c>
    </row>
    <row r="475" customFormat="false" ht="15" hidden="false" customHeight="true" outlineLevel="0" collapsed="false">
      <c r="A475" s="1" t="s">
        <v>665</v>
      </c>
      <c r="B475" s="1" t="s">
        <v>142</v>
      </c>
      <c r="C475" s="1" t="s">
        <v>574</v>
      </c>
    </row>
    <row r="476" customFormat="false" ht="15" hidden="false" customHeight="true" outlineLevel="0" collapsed="false">
      <c r="A476" s="1" t="s">
        <v>666</v>
      </c>
      <c r="B476" s="1" t="s">
        <v>93</v>
      </c>
      <c r="C476" s="1" t="s">
        <v>169</v>
      </c>
    </row>
    <row r="477" customFormat="false" ht="15" hidden="false" customHeight="true" outlineLevel="0" collapsed="false">
      <c r="A477" s="1" t="s">
        <v>667</v>
      </c>
      <c r="B477" s="1" t="s">
        <v>93</v>
      </c>
      <c r="C477" s="1" t="s">
        <v>169</v>
      </c>
    </row>
    <row r="478" customFormat="false" ht="15" hidden="false" customHeight="true" outlineLevel="0" collapsed="false">
      <c r="A478" s="1" t="s">
        <v>668</v>
      </c>
      <c r="B478" s="1" t="s">
        <v>93</v>
      </c>
      <c r="C478" s="1" t="s">
        <v>160</v>
      </c>
    </row>
    <row r="479" customFormat="false" ht="15" hidden="false" customHeight="true" outlineLevel="0" collapsed="false">
      <c r="A479" s="1" t="s">
        <v>669</v>
      </c>
      <c r="B479" s="1" t="s">
        <v>82</v>
      </c>
      <c r="C479" s="1" t="s">
        <v>670</v>
      </c>
    </row>
    <row r="480" customFormat="false" ht="15" hidden="false" customHeight="true" outlineLevel="0" collapsed="false">
      <c r="A480" s="1" t="s">
        <v>671</v>
      </c>
      <c r="B480" s="1" t="s">
        <v>304</v>
      </c>
      <c r="C480" s="1" t="s">
        <v>80</v>
      </c>
    </row>
    <row r="481" customFormat="false" ht="15" hidden="false" customHeight="true" outlineLevel="0" collapsed="false">
      <c r="A481" s="1" t="s">
        <v>672</v>
      </c>
      <c r="B481" s="1" t="s">
        <v>105</v>
      </c>
      <c r="C481" s="1" t="s">
        <v>155</v>
      </c>
    </row>
    <row r="482" customFormat="false" ht="15" hidden="false" customHeight="true" outlineLevel="0" collapsed="false">
      <c r="A482" s="1" t="s">
        <v>673</v>
      </c>
      <c r="B482" s="1" t="s">
        <v>79</v>
      </c>
      <c r="C482" s="1" t="s">
        <v>80</v>
      </c>
    </row>
    <row r="483" customFormat="false" ht="15" hidden="false" customHeight="true" outlineLevel="0" collapsed="false">
      <c r="A483" s="1" t="s">
        <v>674</v>
      </c>
      <c r="B483" s="1" t="s">
        <v>79</v>
      </c>
      <c r="C483" s="1" t="s">
        <v>80</v>
      </c>
    </row>
    <row r="484" customFormat="false" ht="15" hidden="false" customHeight="true" outlineLevel="0" collapsed="false">
      <c r="A484" s="1" t="s">
        <v>675</v>
      </c>
      <c r="B484" s="1" t="s">
        <v>93</v>
      </c>
      <c r="C484" s="1" t="s">
        <v>169</v>
      </c>
    </row>
    <row r="485" customFormat="false" ht="15" hidden="false" customHeight="true" outlineLevel="0" collapsed="false">
      <c r="A485" s="1" t="s">
        <v>676</v>
      </c>
      <c r="B485" s="1" t="s">
        <v>93</v>
      </c>
      <c r="C485" s="1" t="s">
        <v>80</v>
      </c>
    </row>
    <row r="486" customFormat="false" ht="15" hidden="false" customHeight="true" outlineLevel="0" collapsed="false">
      <c r="A486" s="1" t="s">
        <v>677</v>
      </c>
      <c r="B486" s="1" t="s">
        <v>93</v>
      </c>
      <c r="C486" s="1" t="s">
        <v>80</v>
      </c>
    </row>
    <row r="487" customFormat="false" ht="15" hidden="false" customHeight="true" outlineLevel="0" collapsed="false">
      <c r="A487" s="1" t="s">
        <v>678</v>
      </c>
      <c r="B487" s="1" t="s">
        <v>111</v>
      </c>
      <c r="C487" s="1" t="s">
        <v>207</v>
      </c>
    </row>
    <row r="488" customFormat="false" ht="15" hidden="false" customHeight="true" outlineLevel="0" collapsed="false">
      <c r="A488" s="1" t="s">
        <v>679</v>
      </c>
      <c r="B488" s="1" t="s">
        <v>105</v>
      </c>
      <c r="C488" s="1" t="s">
        <v>80</v>
      </c>
    </row>
    <row r="489" customFormat="false" ht="15" hidden="false" customHeight="true" outlineLevel="0" collapsed="false">
      <c r="A489" s="1" t="s">
        <v>680</v>
      </c>
      <c r="B489" s="1" t="s">
        <v>79</v>
      </c>
      <c r="C489" s="1" t="s">
        <v>80</v>
      </c>
    </row>
    <row r="490" customFormat="false" ht="15" hidden="false" customHeight="true" outlineLevel="0" collapsed="false">
      <c r="A490" s="1" t="s">
        <v>681</v>
      </c>
      <c r="B490" s="1" t="s">
        <v>85</v>
      </c>
      <c r="C490" s="1" t="s">
        <v>80</v>
      </c>
    </row>
    <row r="491" customFormat="false" ht="15" hidden="false" customHeight="true" outlineLevel="0" collapsed="false">
      <c r="A491" s="1" t="s">
        <v>682</v>
      </c>
      <c r="B491" s="1" t="s">
        <v>82</v>
      </c>
      <c r="C491" s="1" t="s">
        <v>683</v>
      </c>
    </row>
    <row r="492" customFormat="false" ht="15" hidden="false" customHeight="true" outlineLevel="0" collapsed="false">
      <c r="A492" s="1" t="s">
        <v>684</v>
      </c>
      <c r="B492" s="1" t="s">
        <v>85</v>
      </c>
      <c r="C492" s="1" t="s">
        <v>80</v>
      </c>
    </row>
    <row r="493" customFormat="false" ht="15" hidden="false" customHeight="true" outlineLevel="0" collapsed="false">
      <c r="A493" s="1" t="s">
        <v>685</v>
      </c>
      <c r="B493" s="1" t="s">
        <v>105</v>
      </c>
      <c r="C493" s="1" t="s">
        <v>102</v>
      </c>
    </row>
    <row r="494" customFormat="false" ht="15" hidden="false" customHeight="true" outlineLevel="0" collapsed="false">
      <c r="A494" s="1" t="s">
        <v>686</v>
      </c>
      <c r="B494" s="1" t="s">
        <v>85</v>
      </c>
      <c r="C494" s="1" t="s">
        <v>369</v>
      </c>
    </row>
    <row r="495" customFormat="false" ht="15" hidden="false" customHeight="true" outlineLevel="0" collapsed="false">
      <c r="A495" s="1" t="s">
        <v>687</v>
      </c>
      <c r="B495" s="1" t="s">
        <v>85</v>
      </c>
      <c r="C495" s="1" t="s">
        <v>102</v>
      </c>
    </row>
    <row r="496" customFormat="false" ht="15" hidden="false" customHeight="true" outlineLevel="0" collapsed="false">
      <c r="A496" s="1" t="s">
        <v>688</v>
      </c>
      <c r="B496" s="1" t="s">
        <v>85</v>
      </c>
      <c r="C496" s="1" t="s">
        <v>102</v>
      </c>
    </row>
    <row r="497" customFormat="false" ht="15" hidden="false" customHeight="true" outlineLevel="0" collapsed="false">
      <c r="A497" s="1" t="s">
        <v>689</v>
      </c>
      <c r="B497" s="1" t="s">
        <v>85</v>
      </c>
      <c r="C497" s="1" t="s">
        <v>369</v>
      </c>
    </row>
    <row r="498" customFormat="false" ht="15" hidden="false" customHeight="true" outlineLevel="0" collapsed="false">
      <c r="A498" s="1" t="s">
        <v>690</v>
      </c>
      <c r="B498" s="1" t="s">
        <v>111</v>
      </c>
      <c r="C498" s="1" t="s">
        <v>112</v>
      </c>
    </row>
    <row r="499" customFormat="false" ht="15" hidden="false" customHeight="true" outlineLevel="0" collapsed="false">
      <c r="A499" s="1" t="s">
        <v>691</v>
      </c>
      <c r="B499" s="1" t="s">
        <v>85</v>
      </c>
      <c r="C499" s="1" t="s">
        <v>692</v>
      </c>
    </row>
    <row r="500" customFormat="false" ht="15" hidden="false" customHeight="true" outlineLevel="0" collapsed="false">
      <c r="A500" s="1" t="s">
        <v>693</v>
      </c>
      <c r="B500" s="1" t="s">
        <v>85</v>
      </c>
      <c r="C500" s="1" t="s">
        <v>539</v>
      </c>
    </row>
    <row r="501" customFormat="false" ht="15" hidden="false" customHeight="true" outlineLevel="0" collapsed="false">
      <c r="A501" s="1" t="s">
        <v>694</v>
      </c>
      <c r="B501" s="1" t="s">
        <v>85</v>
      </c>
      <c r="C501" s="1" t="s">
        <v>138</v>
      </c>
    </row>
    <row r="502" customFormat="false" ht="15" hidden="false" customHeight="true" outlineLevel="0" collapsed="false">
      <c r="A502" s="1" t="s">
        <v>695</v>
      </c>
      <c r="B502" s="1" t="s">
        <v>82</v>
      </c>
      <c r="C502" s="1" t="s">
        <v>696</v>
      </c>
    </row>
    <row r="503" customFormat="false" ht="15" hidden="false" customHeight="true" outlineLevel="0" collapsed="false">
      <c r="A503" s="1" t="s">
        <v>697</v>
      </c>
      <c r="B503" s="1" t="s">
        <v>111</v>
      </c>
      <c r="C503" s="1" t="s">
        <v>112</v>
      </c>
    </row>
    <row r="504" customFormat="false" ht="15" hidden="false" customHeight="true" outlineLevel="0" collapsed="false">
      <c r="A504" s="1" t="s">
        <v>698</v>
      </c>
      <c r="B504" s="1" t="s">
        <v>79</v>
      </c>
      <c r="C504" s="1" t="s">
        <v>506</v>
      </c>
    </row>
    <row r="505" customFormat="false" ht="15" hidden="false" customHeight="true" outlineLevel="0" collapsed="false">
      <c r="A505" s="1" t="s">
        <v>699</v>
      </c>
      <c r="B505" s="1" t="s">
        <v>82</v>
      </c>
      <c r="C505" s="1" t="s">
        <v>700</v>
      </c>
    </row>
    <row r="506" customFormat="false" ht="15" hidden="false" customHeight="true" outlineLevel="0" collapsed="false">
      <c r="A506" s="1" t="s">
        <v>701</v>
      </c>
      <c r="B506" s="1" t="s">
        <v>93</v>
      </c>
      <c r="C506" s="1" t="s">
        <v>466</v>
      </c>
    </row>
    <row r="507" customFormat="false" ht="15" hidden="false" customHeight="true" outlineLevel="0" collapsed="false">
      <c r="A507" s="1" t="s">
        <v>702</v>
      </c>
      <c r="B507" s="1" t="s">
        <v>93</v>
      </c>
      <c r="C507" s="1" t="s">
        <v>703</v>
      </c>
    </row>
    <row r="508" customFormat="false" ht="15" hidden="false" customHeight="true" outlineLevel="0" collapsed="false">
      <c r="A508" s="1" t="s">
        <v>704</v>
      </c>
      <c r="B508" s="1" t="s">
        <v>85</v>
      </c>
      <c r="C508" s="1" t="s">
        <v>80</v>
      </c>
    </row>
    <row r="509" customFormat="false" ht="15" hidden="false" customHeight="true" outlineLevel="0" collapsed="false">
      <c r="A509" s="1" t="s">
        <v>705</v>
      </c>
      <c r="B509" s="1" t="s">
        <v>117</v>
      </c>
      <c r="C509" s="1" t="s">
        <v>82</v>
      </c>
    </row>
    <row r="510" customFormat="false" ht="15" hidden="false" customHeight="true" outlineLevel="0" collapsed="false">
      <c r="A510" s="1" t="s">
        <v>706</v>
      </c>
      <c r="B510" s="1" t="s">
        <v>142</v>
      </c>
      <c r="C510" s="1" t="s">
        <v>80</v>
      </c>
    </row>
    <row r="511" customFormat="false" ht="15" hidden="false" customHeight="true" outlineLevel="0" collapsed="false">
      <c r="A511" s="1" t="s">
        <v>707</v>
      </c>
      <c r="B511" s="1" t="s">
        <v>111</v>
      </c>
      <c r="C511" s="1" t="s">
        <v>708</v>
      </c>
    </row>
    <row r="512" customFormat="false" ht="15" hidden="false" customHeight="true" outlineLevel="0" collapsed="false">
      <c r="A512" s="1" t="s">
        <v>709</v>
      </c>
      <c r="B512" s="1" t="s">
        <v>105</v>
      </c>
      <c r="C512" s="1" t="s">
        <v>155</v>
      </c>
    </row>
    <row r="513" customFormat="false" ht="15" hidden="false" customHeight="true" outlineLevel="0" collapsed="false">
      <c r="A513" s="1" t="s">
        <v>710</v>
      </c>
      <c r="B513" s="1" t="s">
        <v>95</v>
      </c>
      <c r="C513" s="1" t="s">
        <v>80</v>
      </c>
    </row>
    <row r="514" customFormat="false" ht="15" hidden="false" customHeight="true" outlineLevel="0" collapsed="false">
      <c r="A514" s="1" t="s">
        <v>711</v>
      </c>
      <c r="B514" s="1" t="s">
        <v>102</v>
      </c>
      <c r="C514" s="1" t="s">
        <v>193</v>
      </c>
    </row>
    <row r="515" customFormat="false" ht="15" hidden="false" customHeight="true" outlineLevel="0" collapsed="false">
      <c r="A515" s="1" t="s">
        <v>712</v>
      </c>
      <c r="B515" s="1" t="s">
        <v>142</v>
      </c>
      <c r="C515" s="1" t="s">
        <v>263</v>
      </c>
    </row>
    <row r="516" customFormat="false" ht="15" hidden="false" customHeight="true" outlineLevel="0" collapsed="false">
      <c r="A516" s="1" t="s">
        <v>713</v>
      </c>
      <c r="B516" s="1" t="s">
        <v>102</v>
      </c>
      <c r="C516" s="1" t="s">
        <v>80</v>
      </c>
    </row>
    <row r="517" customFormat="false" ht="15" hidden="false" customHeight="true" outlineLevel="0" collapsed="false">
      <c r="A517" s="1" t="s">
        <v>714</v>
      </c>
      <c r="B517" s="1" t="s">
        <v>102</v>
      </c>
      <c r="C517" s="1" t="s">
        <v>80</v>
      </c>
    </row>
    <row r="518" customFormat="false" ht="15" hidden="false" customHeight="true" outlineLevel="0" collapsed="false">
      <c r="A518" s="1" t="s">
        <v>715</v>
      </c>
      <c r="B518" s="1" t="s">
        <v>93</v>
      </c>
      <c r="C518" s="1" t="s">
        <v>716</v>
      </c>
    </row>
    <row r="519" customFormat="false" ht="15" hidden="false" customHeight="true" outlineLevel="0" collapsed="false">
      <c r="A519" s="1" t="s">
        <v>717</v>
      </c>
      <c r="B519" s="1" t="s">
        <v>142</v>
      </c>
      <c r="C519" s="1" t="s">
        <v>95</v>
      </c>
    </row>
    <row r="520" customFormat="false" ht="15" hidden="false" customHeight="true" outlineLevel="0" collapsed="false">
      <c r="A520" s="1" t="s">
        <v>718</v>
      </c>
      <c r="B520" s="1" t="s">
        <v>117</v>
      </c>
      <c r="C520" s="1" t="s">
        <v>719</v>
      </c>
    </row>
    <row r="521" customFormat="false" ht="15" hidden="false" customHeight="true" outlineLevel="0" collapsed="false">
      <c r="A521" s="1" t="s">
        <v>720</v>
      </c>
      <c r="B521" s="1" t="s">
        <v>93</v>
      </c>
      <c r="C521" s="1" t="s">
        <v>169</v>
      </c>
    </row>
    <row r="522" customFormat="false" ht="15" hidden="false" customHeight="true" outlineLevel="0" collapsed="false">
      <c r="A522" s="1" t="s">
        <v>721</v>
      </c>
      <c r="B522" s="1" t="s">
        <v>82</v>
      </c>
      <c r="C522" s="1" t="s">
        <v>722</v>
      </c>
    </row>
    <row r="523" customFormat="false" ht="15" hidden="false" customHeight="true" outlineLevel="0" collapsed="false">
      <c r="A523" s="1" t="s">
        <v>723</v>
      </c>
      <c r="B523" s="1" t="s">
        <v>79</v>
      </c>
      <c r="C523" s="1" t="s">
        <v>724</v>
      </c>
    </row>
    <row r="524" customFormat="false" ht="15" hidden="false" customHeight="true" outlineLevel="0" collapsed="false">
      <c r="A524" s="1" t="s">
        <v>725</v>
      </c>
      <c r="B524" s="1" t="s">
        <v>95</v>
      </c>
      <c r="C524" s="1" t="s">
        <v>80</v>
      </c>
    </row>
    <row r="525" customFormat="false" ht="15" hidden="false" customHeight="true" outlineLevel="0" collapsed="false">
      <c r="A525" s="1" t="s">
        <v>726</v>
      </c>
      <c r="B525" s="1" t="s">
        <v>142</v>
      </c>
      <c r="C525" s="1" t="s">
        <v>102</v>
      </c>
    </row>
    <row r="526" customFormat="false" ht="15" hidden="false" customHeight="true" outlineLevel="0" collapsed="false">
      <c r="A526" s="1" t="s">
        <v>727</v>
      </c>
      <c r="B526" s="1" t="s">
        <v>142</v>
      </c>
      <c r="C526" s="1" t="s">
        <v>80</v>
      </c>
    </row>
    <row r="527" customFormat="false" ht="15" hidden="false" customHeight="true" outlineLevel="0" collapsed="false">
      <c r="A527" s="1" t="s">
        <v>728</v>
      </c>
      <c r="B527" s="1" t="s">
        <v>93</v>
      </c>
      <c r="C527" s="1" t="s">
        <v>729</v>
      </c>
    </row>
    <row r="528" customFormat="false" ht="15" hidden="false" customHeight="true" outlineLevel="0" collapsed="false">
      <c r="A528" s="1" t="s">
        <v>730</v>
      </c>
      <c r="B528" s="1" t="s">
        <v>79</v>
      </c>
      <c r="C528" s="1" t="s">
        <v>731</v>
      </c>
    </row>
    <row r="529" customFormat="false" ht="15" hidden="false" customHeight="true" outlineLevel="0" collapsed="false">
      <c r="A529" s="1" t="s">
        <v>732</v>
      </c>
      <c r="B529" s="1" t="s">
        <v>102</v>
      </c>
      <c r="C529" s="1" t="s">
        <v>142</v>
      </c>
    </row>
    <row r="530" customFormat="false" ht="15" hidden="false" customHeight="true" outlineLevel="0" collapsed="false">
      <c r="A530" s="1" t="s">
        <v>733</v>
      </c>
      <c r="B530" s="1" t="s">
        <v>79</v>
      </c>
      <c r="C530" s="1" t="s">
        <v>724</v>
      </c>
    </row>
    <row r="531" customFormat="false" ht="15" hidden="false" customHeight="true" outlineLevel="0" collapsed="false">
      <c r="A531" s="1" t="s">
        <v>734</v>
      </c>
      <c r="B531" s="1" t="s">
        <v>79</v>
      </c>
      <c r="C531" s="1" t="s">
        <v>724</v>
      </c>
    </row>
    <row r="532" customFormat="false" ht="15" hidden="false" customHeight="true" outlineLevel="0" collapsed="false">
      <c r="A532" s="1" t="s">
        <v>735</v>
      </c>
      <c r="B532" s="1" t="s">
        <v>96</v>
      </c>
      <c r="C532" s="1" t="s">
        <v>80</v>
      </c>
    </row>
    <row r="533" customFormat="false" ht="15" hidden="false" customHeight="true" outlineLevel="0" collapsed="false">
      <c r="A533" s="1" t="s">
        <v>736</v>
      </c>
      <c r="B533" s="1" t="s">
        <v>96</v>
      </c>
      <c r="C533" s="1" t="s">
        <v>80</v>
      </c>
    </row>
    <row r="534" customFormat="false" ht="15" hidden="false" customHeight="true" outlineLevel="0" collapsed="false">
      <c r="A534" s="1" t="s">
        <v>737</v>
      </c>
      <c r="B534" s="1" t="s">
        <v>96</v>
      </c>
      <c r="C534" s="1" t="s">
        <v>80</v>
      </c>
    </row>
    <row r="535" customFormat="false" ht="15" hidden="false" customHeight="true" outlineLevel="0" collapsed="false">
      <c r="A535" s="1" t="s">
        <v>738</v>
      </c>
      <c r="B535" s="1" t="s">
        <v>96</v>
      </c>
      <c r="C535" s="1" t="s">
        <v>80</v>
      </c>
    </row>
    <row r="536" customFormat="false" ht="15" hidden="false" customHeight="true" outlineLevel="0" collapsed="false">
      <c r="A536" s="1" t="s">
        <v>739</v>
      </c>
      <c r="B536" s="1" t="s">
        <v>102</v>
      </c>
      <c r="C536" s="1" t="s">
        <v>193</v>
      </c>
    </row>
    <row r="537" customFormat="false" ht="15" hidden="false" customHeight="true" outlineLevel="0" collapsed="false">
      <c r="A537" s="1" t="s">
        <v>740</v>
      </c>
      <c r="B537" s="1" t="s">
        <v>126</v>
      </c>
      <c r="C537" s="1" t="s">
        <v>80</v>
      </c>
    </row>
    <row r="538" customFormat="false" ht="15" hidden="false" customHeight="true" outlineLevel="0" collapsed="false">
      <c r="A538" s="1" t="s">
        <v>741</v>
      </c>
      <c r="B538" s="1" t="s">
        <v>83</v>
      </c>
      <c r="C538" s="1" t="s">
        <v>80</v>
      </c>
    </row>
    <row r="539" customFormat="false" ht="15" hidden="false" customHeight="true" outlineLevel="0" collapsed="false">
      <c r="A539" s="1" t="s">
        <v>742</v>
      </c>
      <c r="B539" s="1" t="s">
        <v>83</v>
      </c>
      <c r="C539" s="1" t="s">
        <v>80</v>
      </c>
    </row>
    <row r="540" customFormat="false" ht="15" hidden="false" customHeight="true" outlineLevel="0" collapsed="false">
      <c r="A540" s="1" t="s">
        <v>743</v>
      </c>
      <c r="B540" s="1" t="s">
        <v>117</v>
      </c>
      <c r="C540" s="1" t="s">
        <v>82</v>
      </c>
    </row>
    <row r="541" customFormat="false" ht="15" hidden="false" customHeight="true" outlineLevel="0" collapsed="false">
      <c r="A541" s="1" t="s">
        <v>744</v>
      </c>
      <c r="B541" s="1" t="s">
        <v>102</v>
      </c>
      <c r="C541" s="1" t="s">
        <v>745</v>
      </c>
    </row>
    <row r="542" customFormat="false" ht="15" hidden="false" customHeight="true" outlineLevel="0" collapsed="false">
      <c r="A542" s="1" t="s">
        <v>746</v>
      </c>
      <c r="B542" s="1" t="s">
        <v>117</v>
      </c>
      <c r="C542" s="1" t="s">
        <v>80</v>
      </c>
    </row>
    <row r="543" customFormat="false" ht="15" hidden="false" customHeight="true" outlineLevel="0" collapsed="false">
      <c r="A543" s="1" t="s">
        <v>747</v>
      </c>
      <c r="B543" s="1" t="s">
        <v>79</v>
      </c>
      <c r="C543" s="1" t="s">
        <v>80</v>
      </c>
    </row>
    <row r="544" customFormat="false" ht="15" hidden="false" customHeight="true" outlineLevel="0" collapsed="false">
      <c r="A544" s="1" t="s">
        <v>748</v>
      </c>
      <c r="B544" s="1" t="s">
        <v>96</v>
      </c>
      <c r="C544" s="1" t="s">
        <v>80</v>
      </c>
    </row>
    <row r="545" customFormat="false" ht="15" hidden="false" customHeight="true" outlineLevel="0" collapsed="false">
      <c r="A545" s="1" t="s">
        <v>749</v>
      </c>
      <c r="B545" s="1" t="s">
        <v>79</v>
      </c>
      <c r="C545" s="1" t="s">
        <v>80</v>
      </c>
    </row>
    <row r="546" customFormat="false" ht="15" hidden="false" customHeight="true" outlineLevel="0" collapsed="false">
      <c r="A546" s="1" t="s">
        <v>750</v>
      </c>
      <c r="B546" s="1" t="s">
        <v>82</v>
      </c>
      <c r="C546" s="1" t="s">
        <v>117</v>
      </c>
    </row>
    <row r="547" customFormat="false" ht="15" hidden="false" customHeight="true" outlineLevel="0" collapsed="false">
      <c r="A547" s="1" t="s">
        <v>751</v>
      </c>
      <c r="B547" s="1" t="s">
        <v>93</v>
      </c>
      <c r="C547" s="1" t="s">
        <v>444</v>
      </c>
    </row>
    <row r="548" customFormat="false" ht="15" hidden="false" customHeight="true" outlineLevel="0" collapsed="false">
      <c r="A548" s="1" t="s">
        <v>752</v>
      </c>
      <c r="B548" s="1" t="s">
        <v>105</v>
      </c>
      <c r="C548" s="1" t="s">
        <v>155</v>
      </c>
    </row>
    <row r="549" customFormat="false" ht="15" hidden="false" customHeight="true" outlineLevel="0" collapsed="false">
      <c r="A549" s="1" t="s">
        <v>753</v>
      </c>
      <c r="B549" s="1" t="s">
        <v>105</v>
      </c>
      <c r="C549" s="1" t="s">
        <v>155</v>
      </c>
    </row>
    <row r="550" customFormat="false" ht="15" hidden="false" customHeight="true" outlineLevel="0" collapsed="false">
      <c r="A550" s="1" t="s">
        <v>754</v>
      </c>
      <c r="B550" s="1" t="s">
        <v>83</v>
      </c>
      <c r="C550" s="1" t="s">
        <v>80</v>
      </c>
    </row>
    <row r="551" customFormat="false" ht="15" hidden="false" customHeight="true" outlineLevel="0" collapsed="false">
      <c r="A551" s="1" t="s">
        <v>755</v>
      </c>
      <c r="B551" s="1" t="s">
        <v>82</v>
      </c>
      <c r="C551" s="1" t="s">
        <v>756</v>
      </c>
    </row>
    <row r="552" customFormat="false" ht="15" hidden="false" customHeight="true" outlineLevel="0" collapsed="false">
      <c r="A552" s="1" t="s">
        <v>757</v>
      </c>
      <c r="B552" s="1" t="s">
        <v>82</v>
      </c>
      <c r="C552" s="1" t="s">
        <v>93</v>
      </c>
    </row>
    <row r="553" customFormat="false" ht="15" hidden="false" customHeight="true" outlineLevel="0" collapsed="false">
      <c r="A553" s="1" t="s">
        <v>758</v>
      </c>
      <c r="B553" s="1" t="s">
        <v>93</v>
      </c>
      <c r="C553" s="1" t="s">
        <v>759</v>
      </c>
    </row>
    <row r="554" customFormat="false" ht="15" hidden="false" customHeight="true" outlineLevel="0" collapsed="false">
      <c r="A554" s="1" t="s">
        <v>760</v>
      </c>
      <c r="B554" s="1" t="s">
        <v>85</v>
      </c>
      <c r="C554" s="1" t="s">
        <v>80</v>
      </c>
    </row>
    <row r="555" customFormat="false" ht="15" hidden="false" customHeight="true" outlineLevel="0" collapsed="false">
      <c r="A555" s="1" t="s">
        <v>761</v>
      </c>
      <c r="B555" s="1" t="s">
        <v>82</v>
      </c>
      <c r="C555" s="1" t="s">
        <v>762</v>
      </c>
    </row>
    <row r="556" customFormat="false" ht="15" hidden="false" customHeight="true" outlineLevel="0" collapsed="false">
      <c r="A556" s="1" t="s">
        <v>763</v>
      </c>
      <c r="B556" s="1" t="s">
        <v>93</v>
      </c>
      <c r="C556" s="1" t="s">
        <v>764</v>
      </c>
    </row>
    <row r="557" customFormat="false" ht="15" hidden="false" customHeight="true" outlineLevel="0" collapsed="false">
      <c r="A557" s="1" t="s">
        <v>765</v>
      </c>
      <c r="B557" s="1" t="s">
        <v>82</v>
      </c>
      <c r="C557" s="1" t="s">
        <v>766</v>
      </c>
    </row>
    <row r="558" customFormat="false" ht="15" hidden="false" customHeight="true" outlineLevel="0" collapsed="false">
      <c r="A558" s="1" t="s">
        <v>767</v>
      </c>
      <c r="B558" s="1" t="s">
        <v>95</v>
      </c>
      <c r="C558" s="1" t="s">
        <v>80</v>
      </c>
    </row>
    <row r="559" customFormat="false" ht="15" hidden="false" customHeight="true" outlineLevel="0" collapsed="false">
      <c r="A559" s="1" t="s">
        <v>768</v>
      </c>
      <c r="B559" s="1" t="s">
        <v>95</v>
      </c>
      <c r="C559" s="1" t="s">
        <v>96</v>
      </c>
    </row>
    <row r="560" customFormat="false" ht="15" hidden="false" customHeight="true" outlineLevel="0" collapsed="false">
      <c r="A560" s="1" t="s">
        <v>769</v>
      </c>
      <c r="B560" s="1" t="s">
        <v>79</v>
      </c>
      <c r="C560" s="1" t="s">
        <v>724</v>
      </c>
    </row>
    <row r="561" customFormat="false" ht="15" hidden="false" customHeight="true" outlineLevel="0" collapsed="false">
      <c r="A561" s="1" t="s">
        <v>770</v>
      </c>
      <c r="B561" s="1" t="s">
        <v>82</v>
      </c>
      <c r="C561" s="1" t="s">
        <v>80</v>
      </c>
    </row>
    <row r="562" customFormat="false" ht="15" hidden="false" customHeight="true" outlineLevel="0" collapsed="false">
      <c r="A562" s="1" t="s">
        <v>771</v>
      </c>
      <c r="B562" s="1" t="s">
        <v>82</v>
      </c>
      <c r="C562" s="1" t="s">
        <v>772</v>
      </c>
    </row>
    <row r="563" customFormat="false" ht="15" hidden="false" customHeight="true" outlineLevel="0" collapsed="false">
      <c r="A563" s="1" t="s">
        <v>27</v>
      </c>
      <c r="B563" s="1" t="s">
        <v>117</v>
      </c>
      <c r="C563" s="1" t="s">
        <v>719</v>
      </c>
    </row>
    <row r="564" customFormat="false" ht="15" hidden="false" customHeight="true" outlineLevel="0" collapsed="false">
      <c r="A564" s="1" t="s">
        <v>773</v>
      </c>
      <c r="B564" s="1" t="s">
        <v>142</v>
      </c>
      <c r="C564" s="1" t="s">
        <v>263</v>
      </c>
    </row>
    <row r="565" customFormat="false" ht="15" hidden="false" customHeight="true" outlineLevel="0" collapsed="false">
      <c r="A565" s="1" t="s">
        <v>774</v>
      </c>
      <c r="B565" s="1" t="s">
        <v>105</v>
      </c>
      <c r="C565" s="1" t="s">
        <v>106</v>
      </c>
    </row>
    <row r="566" customFormat="false" ht="15" hidden="false" customHeight="true" outlineLevel="0" collapsed="false">
      <c r="A566" s="1" t="s">
        <v>775</v>
      </c>
      <c r="B566" s="1" t="s">
        <v>102</v>
      </c>
      <c r="C566" s="1" t="s">
        <v>193</v>
      </c>
    </row>
    <row r="567" customFormat="false" ht="15" hidden="false" customHeight="true" outlineLevel="0" collapsed="false">
      <c r="A567" s="1" t="s">
        <v>776</v>
      </c>
      <c r="B567" s="1" t="s">
        <v>105</v>
      </c>
      <c r="C567" s="1" t="s">
        <v>155</v>
      </c>
    </row>
    <row r="568" customFormat="false" ht="15" hidden="false" customHeight="true" outlineLevel="0" collapsed="false">
      <c r="A568" s="1" t="s">
        <v>777</v>
      </c>
      <c r="B568" s="1" t="s">
        <v>105</v>
      </c>
      <c r="C568" s="1" t="s">
        <v>155</v>
      </c>
    </row>
    <row r="569" customFormat="false" ht="15" hidden="false" customHeight="true" outlineLevel="0" collapsed="false">
      <c r="A569" s="1" t="s">
        <v>778</v>
      </c>
      <c r="B569" s="1" t="s">
        <v>85</v>
      </c>
      <c r="C569" s="1" t="s">
        <v>567</v>
      </c>
    </row>
    <row r="570" customFormat="false" ht="15" hidden="false" customHeight="true" outlineLevel="0" collapsed="false">
      <c r="A570" s="1" t="s">
        <v>779</v>
      </c>
      <c r="B570" s="1" t="s">
        <v>85</v>
      </c>
      <c r="C570" s="1" t="s">
        <v>369</v>
      </c>
    </row>
    <row r="571" customFormat="false" ht="15" hidden="false" customHeight="true" outlineLevel="0" collapsed="false">
      <c r="A571" s="1" t="s">
        <v>780</v>
      </c>
      <c r="B571" s="1" t="s">
        <v>105</v>
      </c>
      <c r="C571" s="1" t="s">
        <v>106</v>
      </c>
    </row>
    <row r="572" customFormat="false" ht="15" hidden="false" customHeight="true" outlineLevel="0" collapsed="false">
      <c r="A572" s="1" t="s">
        <v>781</v>
      </c>
      <c r="B572" s="1" t="s">
        <v>105</v>
      </c>
      <c r="C572" s="1" t="s">
        <v>155</v>
      </c>
    </row>
    <row r="573" customFormat="false" ht="15" hidden="false" customHeight="true" outlineLevel="0" collapsed="false">
      <c r="A573" s="1" t="s">
        <v>782</v>
      </c>
      <c r="B573" s="1" t="s">
        <v>105</v>
      </c>
      <c r="C573" s="1" t="s">
        <v>155</v>
      </c>
    </row>
    <row r="574" customFormat="false" ht="15" hidden="false" customHeight="true" outlineLevel="0" collapsed="false">
      <c r="A574" s="1" t="s">
        <v>783</v>
      </c>
      <c r="B574" s="1" t="s">
        <v>126</v>
      </c>
      <c r="C574" s="1" t="s">
        <v>85</v>
      </c>
    </row>
    <row r="575" customFormat="false" ht="15" hidden="false" customHeight="true" outlineLevel="0" collapsed="false">
      <c r="A575" s="1" t="s">
        <v>784</v>
      </c>
      <c r="B575" s="1" t="s">
        <v>93</v>
      </c>
      <c r="C575" s="1" t="s">
        <v>80</v>
      </c>
    </row>
    <row r="576" customFormat="false" ht="15" hidden="false" customHeight="true" outlineLevel="0" collapsed="false">
      <c r="A576" s="1" t="s">
        <v>785</v>
      </c>
      <c r="B576" s="1" t="s">
        <v>93</v>
      </c>
      <c r="C576" s="1" t="s">
        <v>80</v>
      </c>
    </row>
    <row r="577" customFormat="false" ht="15" hidden="false" customHeight="true" outlineLevel="0" collapsed="false">
      <c r="A577" s="1" t="s">
        <v>786</v>
      </c>
      <c r="B577" s="1" t="s">
        <v>93</v>
      </c>
      <c r="C577" s="1" t="s">
        <v>162</v>
      </c>
    </row>
    <row r="578" customFormat="false" ht="15" hidden="false" customHeight="true" outlineLevel="0" collapsed="false">
      <c r="A578" s="1" t="s">
        <v>787</v>
      </c>
      <c r="B578" s="1" t="s">
        <v>85</v>
      </c>
      <c r="C578" s="1" t="s">
        <v>788</v>
      </c>
    </row>
    <row r="579" customFormat="false" ht="15" hidden="false" customHeight="true" outlineLevel="0" collapsed="false">
      <c r="A579" s="1" t="s">
        <v>789</v>
      </c>
      <c r="B579" s="1" t="s">
        <v>126</v>
      </c>
      <c r="C579" s="1" t="s">
        <v>790</v>
      </c>
    </row>
    <row r="580" customFormat="false" ht="15" hidden="false" customHeight="true" outlineLevel="0" collapsed="false">
      <c r="A580" s="1" t="s">
        <v>791</v>
      </c>
      <c r="B580" s="1" t="s">
        <v>126</v>
      </c>
      <c r="C580" s="1" t="s">
        <v>792</v>
      </c>
    </row>
    <row r="581" customFormat="false" ht="15" hidden="false" customHeight="true" outlineLevel="0" collapsed="false">
      <c r="A581" s="1" t="s">
        <v>793</v>
      </c>
      <c r="B581" s="1" t="s">
        <v>93</v>
      </c>
      <c r="C581" s="1" t="s">
        <v>80</v>
      </c>
    </row>
    <row r="582" customFormat="false" ht="15" hidden="false" customHeight="true" outlineLevel="0" collapsed="false">
      <c r="A582" s="1" t="s">
        <v>794</v>
      </c>
      <c r="B582" s="1" t="s">
        <v>93</v>
      </c>
      <c r="C582" s="1" t="s">
        <v>169</v>
      </c>
    </row>
    <row r="583" customFormat="false" ht="15" hidden="false" customHeight="true" outlineLevel="0" collapsed="false">
      <c r="A583" s="1" t="s">
        <v>795</v>
      </c>
      <c r="B583" s="1" t="s">
        <v>85</v>
      </c>
      <c r="C583" s="1" t="s">
        <v>176</v>
      </c>
    </row>
    <row r="584" customFormat="false" ht="15" hidden="false" customHeight="true" outlineLevel="0" collapsed="false">
      <c r="A584" s="1" t="s">
        <v>796</v>
      </c>
      <c r="B584" s="1" t="s">
        <v>102</v>
      </c>
      <c r="C584" s="1" t="s">
        <v>745</v>
      </c>
    </row>
    <row r="585" customFormat="false" ht="15" hidden="false" customHeight="true" outlineLevel="0" collapsed="false">
      <c r="A585" s="1" t="s">
        <v>797</v>
      </c>
      <c r="B585" s="1" t="s">
        <v>93</v>
      </c>
      <c r="C585" s="1" t="s">
        <v>798</v>
      </c>
    </row>
    <row r="586" customFormat="false" ht="15" hidden="false" customHeight="true" outlineLevel="0" collapsed="false">
      <c r="A586" s="1" t="s">
        <v>799</v>
      </c>
      <c r="B586" s="1" t="s">
        <v>126</v>
      </c>
      <c r="C586" s="1" t="s">
        <v>800</v>
      </c>
    </row>
    <row r="587" customFormat="false" ht="15" hidden="false" customHeight="true" outlineLevel="0" collapsed="false">
      <c r="A587" s="1" t="s">
        <v>801</v>
      </c>
      <c r="B587" s="1" t="s">
        <v>93</v>
      </c>
      <c r="C587" s="1" t="s">
        <v>237</v>
      </c>
    </row>
    <row r="588" customFormat="false" ht="15" hidden="false" customHeight="true" outlineLevel="0" collapsed="false">
      <c r="A588" s="1" t="s">
        <v>802</v>
      </c>
      <c r="B588" s="1" t="s">
        <v>82</v>
      </c>
      <c r="C588" s="1" t="s">
        <v>803</v>
      </c>
    </row>
    <row r="589" customFormat="false" ht="15" hidden="false" customHeight="true" outlineLevel="0" collapsed="false">
      <c r="A589" s="1" t="s">
        <v>804</v>
      </c>
      <c r="B589" s="1" t="s">
        <v>95</v>
      </c>
      <c r="C589" s="1" t="s">
        <v>96</v>
      </c>
    </row>
    <row r="590" customFormat="false" ht="15" hidden="false" customHeight="true" outlineLevel="0" collapsed="false">
      <c r="A590" s="1" t="s">
        <v>805</v>
      </c>
      <c r="B590" s="1" t="s">
        <v>95</v>
      </c>
      <c r="C590" s="1" t="s">
        <v>96</v>
      </c>
    </row>
    <row r="591" customFormat="false" ht="15" hidden="false" customHeight="true" outlineLevel="0" collapsed="false">
      <c r="A591" s="1" t="s">
        <v>34</v>
      </c>
      <c r="B591" s="1" t="s">
        <v>95</v>
      </c>
      <c r="C591" s="1" t="s">
        <v>96</v>
      </c>
    </row>
    <row r="592" customFormat="false" ht="15" hidden="false" customHeight="true" outlineLevel="0" collapsed="false">
      <c r="A592" s="1" t="s">
        <v>806</v>
      </c>
      <c r="B592" s="1" t="s">
        <v>79</v>
      </c>
      <c r="C592" s="1" t="s">
        <v>80</v>
      </c>
    </row>
    <row r="593" customFormat="false" ht="15" hidden="false" customHeight="true" outlineLevel="0" collapsed="false">
      <c r="A593" s="1" t="s">
        <v>807</v>
      </c>
      <c r="B593" s="1" t="s">
        <v>85</v>
      </c>
      <c r="C593" s="1" t="s">
        <v>80</v>
      </c>
    </row>
    <row r="594" customFormat="false" ht="15" hidden="false" customHeight="true" outlineLevel="0" collapsed="false">
      <c r="A594" s="1" t="s">
        <v>808</v>
      </c>
      <c r="B594" s="1" t="s">
        <v>85</v>
      </c>
      <c r="C594" s="1" t="s">
        <v>80</v>
      </c>
    </row>
    <row r="595" customFormat="false" ht="15" hidden="false" customHeight="true" outlineLevel="0" collapsed="false">
      <c r="A595" s="1" t="s">
        <v>809</v>
      </c>
      <c r="B595" s="1" t="s">
        <v>111</v>
      </c>
      <c r="C595" s="1" t="s">
        <v>207</v>
      </c>
    </row>
    <row r="596" customFormat="false" ht="15" hidden="false" customHeight="true" outlineLevel="0" collapsed="false">
      <c r="A596" s="1" t="s">
        <v>810</v>
      </c>
      <c r="B596" s="1" t="s">
        <v>102</v>
      </c>
      <c r="C596" s="1" t="s">
        <v>80</v>
      </c>
    </row>
    <row r="597" customFormat="false" ht="15" hidden="false" customHeight="true" outlineLevel="0" collapsed="false">
      <c r="A597" s="1" t="s">
        <v>811</v>
      </c>
      <c r="B597" s="1" t="s">
        <v>82</v>
      </c>
      <c r="C597" s="1" t="s">
        <v>140</v>
      </c>
    </row>
    <row r="598" customFormat="false" ht="15" hidden="false" customHeight="true" outlineLevel="0" collapsed="false">
      <c r="A598" s="1" t="s">
        <v>812</v>
      </c>
      <c r="B598" s="1" t="s">
        <v>85</v>
      </c>
      <c r="C598" s="1" t="s">
        <v>80</v>
      </c>
    </row>
    <row r="599" customFormat="false" ht="15" hidden="false" customHeight="true" outlineLevel="0" collapsed="false">
      <c r="A599" s="1" t="s">
        <v>813</v>
      </c>
      <c r="B599" s="1" t="s">
        <v>95</v>
      </c>
      <c r="C599" s="1" t="s">
        <v>96</v>
      </c>
    </row>
    <row r="600" customFormat="false" ht="15" hidden="false" customHeight="true" outlineLevel="0" collapsed="false">
      <c r="A600" s="1" t="s">
        <v>814</v>
      </c>
      <c r="B600" s="1" t="s">
        <v>102</v>
      </c>
      <c r="C600" s="1" t="s">
        <v>193</v>
      </c>
    </row>
    <row r="601" customFormat="false" ht="15" hidden="false" customHeight="true" outlineLevel="0" collapsed="false">
      <c r="A601" s="1" t="s">
        <v>815</v>
      </c>
      <c r="B601" s="1" t="s">
        <v>111</v>
      </c>
      <c r="C601" s="1" t="s">
        <v>122</v>
      </c>
    </row>
    <row r="602" customFormat="false" ht="15" hidden="false" customHeight="true" outlineLevel="0" collapsed="false">
      <c r="A602" s="1" t="s">
        <v>816</v>
      </c>
      <c r="B602" s="1" t="s">
        <v>96</v>
      </c>
      <c r="C602" s="1" t="s">
        <v>817</v>
      </c>
    </row>
    <row r="603" customFormat="false" ht="15" hidden="false" customHeight="true" outlineLevel="0" collapsed="false">
      <c r="A603" s="1" t="s">
        <v>818</v>
      </c>
      <c r="B603" s="1" t="s">
        <v>93</v>
      </c>
      <c r="C603" s="1" t="s">
        <v>279</v>
      </c>
    </row>
    <row r="604" customFormat="false" ht="15" hidden="false" customHeight="true" outlineLevel="0" collapsed="false">
      <c r="A604" s="1" t="s">
        <v>819</v>
      </c>
      <c r="B604" s="1" t="s">
        <v>102</v>
      </c>
      <c r="C604" s="1" t="s">
        <v>193</v>
      </c>
    </row>
    <row r="605" customFormat="false" ht="15" hidden="false" customHeight="true" outlineLevel="0" collapsed="false">
      <c r="A605" s="1" t="s">
        <v>820</v>
      </c>
      <c r="B605" s="1" t="s">
        <v>93</v>
      </c>
      <c r="C605" s="1" t="s">
        <v>162</v>
      </c>
    </row>
    <row r="606" customFormat="false" ht="15" hidden="false" customHeight="true" outlineLevel="0" collapsed="false">
      <c r="A606" s="1" t="s">
        <v>821</v>
      </c>
      <c r="B606" s="1" t="s">
        <v>83</v>
      </c>
      <c r="C606" s="1" t="s">
        <v>80</v>
      </c>
    </row>
    <row r="607" customFormat="false" ht="15" hidden="false" customHeight="true" outlineLevel="0" collapsed="false">
      <c r="A607" s="1" t="s">
        <v>822</v>
      </c>
      <c r="B607" s="1" t="s">
        <v>142</v>
      </c>
      <c r="C607" s="1" t="s">
        <v>327</v>
      </c>
    </row>
    <row r="608" customFormat="false" ht="15" hidden="false" customHeight="true" outlineLevel="0" collapsed="false">
      <c r="A608" s="1" t="s">
        <v>823</v>
      </c>
      <c r="B608" s="1" t="s">
        <v>82</v>
      </c>
      <c r="C608" s="1" t="s">
        <v>670</v>
      </c>
    </row>
    <row r="609" customFormat="false" ht="15" hidden="false" customHeight="true" outlineLevel="0" collapsed="false">
      <c r="A609" s="1" t="s">
        <v>824</v>
      </c>
      <c r="B609" s="1" t="s">
        <v>82</v>
      </c>
      <c r="C609" s="1" t="s">
        <v>825</v>
      </c>
    </row>
    <row r="610" customFormat="false" ht="15" hidden="false" customHeight="true" outlineLevel="0" collapsed="false">
      <c r="A610" s="1" t="s">
        <v>826</v>
      </c>
      <c r="B610" s="1" t="s">
        <v>142</v>
      </c>
      <c r="C610" s="1" t="s">
        <v>827</v>
      </c>
    </row>
    <row r="611" customFormat="false" ht="15" hidden="false" customHeight="true" outlineLevel="0" collapsed="false">
      <c r="A611" s="1" t="s">
        <v>828</v>
      </c>
      <c r="B611" s="1" t="s">
        <v>79</v>
      </c>
      <c r="C611" s="1" t="s">
        <v>80</v>
      </c>
    </row>
    <row r="612" customFormat="false" ht="15" hidden="false" customHeight="true" outlineLevel="0" collapsed="false">
      <c r="A612" s="1" t="s">
        <v>829</v>
      </c>
      <c r="B612" s="1" t="s">
        <v>93</v>
      </c>
      <c r="C612" s="1" t="s">
        <v>162</v>
      </c>
    </row>
    <row r="613" customFormat="false" ht="15" hidden="false" customHeight="true" outlineLevel="0" collapsed="false">
      <c r="A613" s="1" t="s">
        <v>830</v>
      </c>
      <c r="B613" s="1" t="s">
        <v>142</v>
      </c>
      <c r="C613" s="1" t="s">
        <v>80</v>
      </c>
    </row>
    <row r="614" customFormat="false" ht="15" hidden="false" customHeight="true" outlineLevel="0" collapsed="false">
      <c r="A614" s="1" t="s">
        <v>831</v>
      </c>
      <c r="B614" s="1" t="s">
        <v>85</v>
      </c>
      <c r="C614" s="1" t="s">
        <v>292</v>
      </c>
    </row>
    <row r="615" customFormat="false" ht="15" hidden="false" customHeight="true" outlineLevel="0" collapsed="false">
      <c r="A615" s="1" t="s">
        <v>832</v>
      </c>
      <c r="B615" s="1" t="s">
        <v>93</v>
      </c>
      <c r="C615" s="1" t="s">
        <v>833</v>
      </c>
    </row>
    <row r="616" customFormat="false" ht="15" hidden="false" customHeight="true" outlineLevel="0" collapsed="false">
      <c r="A616" s="1" t="s">
        <v>834</v>
      </c>
      <c r="B616" s="1" t="s">
        <v>82</v>
      </c>
      <c r="C616" s="1" t="s">
        <v>83</v>
      </c>
    </row>
    <row r="617" customFormat="false" ht="15" hidden="false" customHeight="true" outlineLevel="0" collapsed="false">
      <c r="A617" s="1" t="s">
        <v>835</v>
      </c>
      <c r="B617" s="1" t="s">
        <v>93</v>
      </c>
      <c r="C617" s="1" t="s">
        <v>169</v>
      </c>
    </row>
    <row r="618" customFormat="false" ht="15" hidden="false" customHeight="true" outlineLevel="0" collapsed="false">
      <c r="A618" s="1" t="s">
        <v>836</v>
      </c>
      <c r="B618" s="1" t="s">
        <v>79</v>
      </c>
      <c r="C618" s="1" t="s">
        <v>126</v>
      </c>
    </row>
    <row r="619" customFormat="false" ht="15" hidden="false" customHeight="true" outlineLevel="0" collapsed="false">
      <c r="A619" s="1" t="s">
        <v>837</v>
      </c>
      <c r="B619" s="1" t="s">
        <v>93</v>
      </c>
      <c r="C619" s="1" t="s">
        <v>838</v>
      </c>
    </row>
    <row r="620" customFormat="false" ht="15" hidden="false" customHeight="true" outlineLevel="0" collapsed="false">
      <c r="A620" s="1" t="s">
        <v>839</v>
      </c>
      <c r="B620" s="1" t="s">
        <v>122</v>
      </c>
      <c r="C620" s="1" t="s">
        <v>840</v>
      </c>
    </row>
    <row r="621" customFormat="false" ht="15" hidden="false" customHeight="true" outlineLevel="0" collapsed="false">
      <c r="A621" s="1" t="s">
        <v>841</v>
      </c>
      <c r="B621" s="1" t="s">
        <v>79</v>
      </c>
      <c r="C621" s="1" t="s">
        <v>80</v>
      </c>
    </row>
    <row r="622" customFormat="false" ht="15" hidden="false" customHeight="true" outlineLevel="0" collapsed="false">
      <c r="A622" s="1" t="s">
        <v>842</v>
      </c>
      <c r="B622" s="1" t="s">
        <v>93</v>
      </c>
      <c r="C622" s="1" t="s">
        <v>227</v>
      </c>
    </row>
    <row r="623" customFormat="false" ht="15" hidden="false" customHeight="true" outlineLevel="0" collapsed="false">
      <c r="A623" s="1" t="s">
        <v>843</v>
      </c>
      <c r="B623" s="1" t="s">
        <v>82</v>
      </c>
      <c r="C623" s="1" t="s">
        <v>80</v>
      </c>
    </row>
    <row r="624" customFormat="false" ht="15" hidden="false" customHeight="true" outlineLevel="0" collapsed="false">
      <c r="A624" s="1" t="s">
        <v>844</v>
      </c>
      <c r="B624" s="1" t="s">
        <v>85</v>
      </c>
      <c r="C624" s="1" t="s">
        <v>102</v>
      </c>
    </row>
    <row r="625" customFormat="false" ht="15" hidden="false" customHeight="true" outlineLevel="0" collapsed="false">
      <c r="A625" s="1" t="s">
        <v>845</v>
      </c>
      <c r="B625" s="1" t="s">
        <v>79</v>
      </c>
      <c r="C625" s="1" t="s">
        <v>80</v>
      </c>
    </row>
    <row r="626" customFormat="false" ht="15" hidden="false" customHeight="true" outlineLevel="0" collapsed="false">
      <c r="A626" s="1" t="s">
        <v>846</v>
      </c>
      <c r="B626" s="1" t="s">
        <v>102</v>
      </c>
      <c r="C626" s="1" t="s">
        <v>80</v>
      </c>
    </row>
    <row r="627" customFormat="false" ht="15" hidden="false" customHeight="true" outlineLevel="0" collapsed="false">
      <c r="A627" s="1" t="s">
        <v>847</v>
      </c>
      <c r="B627" s="1" t="s">
        <v>85</v>
      </c>
      <c r="C627" s="1" t="s">
        <v>80</v>
      </c>
    </row>
    <row r="628" customFormat="false" ht="15" hidden="false" customHeight="true" outlineLevel="0" collapsed="false">
      <c r="A628" s="1" t="s">
        <v>848</v>
      </c>
      <c r="B628" s="1" t="s">
        <v>102</v>
      </c>
      <c r="C628" s="1" t="s">
        <v>80</v>
      </c>
    </row>
    <row r="629" customFormat="false" ht="15" hidden="false" customHeight="true" outlineLevel="0" collapsed="false">
      <c r="A629" s="1" t="s">
        <v>849</v>
      </c>
      <c r="B629" s="1" t="s">
        <v>95</v>
      </c>
      <c r="C629" s="1" t="s">
        <v>193</v>
      </c>
    </row>
    <row r="630" customFormat="false" ht="15" hidden="false" customHeight="true" outlineLevel="0" collapsed="false">
      <c r="A630" s="1" t="s">
        <v>12</v>
      </c>
      <c r="B630" s="1" t="s">
        <v>111</v>
      </c>
      <c r="C630" s="1" t="s">
        <v>207</v>
      </c>
    </row>
    <row r="631" customFormat="false" ht="15" hidden="false" customHeight="true" outlineLevel="0" collapsed="false">
      <c r="A631" s="1" t="s">
        <v>850</v>
      </c>
      <c r="B631" s="1" t="s">
        <v>85</v>
      </c>
      <c r="C631" s="1" t="s">
        <v>102</v>
      </c>
    </row>
    <row r="632" customFormat="false" ht="15" hidden="false" customHeight="true" outlineLevel="0" collapsed="false">
      <c r="A632" s="1" t="s">
        <v>851</v>
      </c>
      <c r="B632" s="1" t="s">
        <v>83</v>
      </c>
      <c r="C632" s="1" t="s">
        <v>80</v>
      </c>
    </row>
    <row r="633" customFormat="false" ht="15" hidden="false" customHeight="true" outlineLevel="0" collapsed="false">
      <c r="A633" s="1" t="s">
        <v>852</v>
      </c>
      <c r="B633" s="1" t="s">
        <v>83</v>
      </c>
      <c r="C633" s="1" t="s">
        <v>719</v>
      </c>
    </row>
    <row r="634" customFormat="false" ht="15" hidden="false" customHeight="true" outlineLevel="0" collapsed="false">
      <c r="A634" s="1" t="s">
        <v>853</v>
      </c>
      <c r="B634" s="1" t="s">
        <v>95</v>
      </c>
      <c r="C634" s="1" t="s">
        <v>80</v>
      </c>
    </row>
    <row r="635" customFormat="false" ht="15" hidden="false" customHeight="true" outlineLevel="0" collapsed="false">
      <c r="A635" s="1" t="s">
        <v>854</v>
      </c>
      <c r="B635" s="1" t="s">
        <v>95</v>
      </c>
      <c r="C635" s="1" t="s">
        <v>80</v>
      </c>
    </row>
    <row r="636" customFormat="false" ht="15" hidden="false" customHeight="true" outlineLevel="0" collapsed="false">
      <c r="A636" s="1" t="s">
        <v>855</v>
      </c>
      <c r="B636" s="1" t="s">
        <v>95</v>
      </c>
      <c r="C636" s="1" t="s">
        <v>80</v>
      </c>
    </row>
    <row r="637" customFormat="false" ht="15" hidden="false" customHeight="true" outlineLevel="0" collapsed="false">
      <c r="A637" s="1" t="s">
        <v>856</v>
      </c>
      <c r="B637" s="1" t="s">
        <v>96</v>
      </c>
      <c r="C637" s="1" t="s">
        <v>80</v>
      </c>
    </row>
    <row r="638" customFormat="false" ht="15" hidden="false" customHeight="true" outlineLevel="0" collapsed="false">
      <c r="A638" s="1" t="s">
        <v>857</v>
      </c>
      <c r="B638" s="1" t="s">
        <v>96</v>
      </c>
      <c r="C638" s="1" t="s">
        <v>80</v>
      </c>
    </row>
    <row r="639" customFormat="false" ht="15" hidden="false" customHeight="true" outlineLevel="0" collapsed="false">
      <c r="A639" s="1" t="s">
        <v>858</v>
      </c>
      <c r="B639" s="1" t="s">
        <v>85</v>
      </c>
      <c r="C639" s="1" t="s">
        <v>102</v>
      </c>
    </row>
    <row r="640" customFormat="false" ht="15" hidden="false" customHeight="true" outlineLevel="0" collapsed="false">
      <c r="A640" s="1" t="s">
        <v>859</v>
      </c>
      <c r="B640" s="1" t="s">
        <v>79</v>
      </c>
      <c r="C640" s="1" t="s">
        <v>80</v>
      </c>
    </row>
    <row r="641" customFormat="false" ht="15" hidden="false" customHeight="true" outlineLevel="0" collapsed="false">
      <c r="A641" s="1" t="s">
        <v>860</v>
      </c>
      <c r="B641" s="1" t="s">
        <v>82</v>
      </c>
      <c r="C641" s="1" t="s">
        <v>83</v>
      </c>
    </row>
    <row r="642" customFormat="false" ht="15" hidden="false" customHeight="true" outlineLevel="0" collapsed="false">
      <c r="A642" s="1" t="s">
        <v>861</v>
      </c>
      <c r="B642" s="1" t="s">
        <v>85</v>
      </c>
      <c r="C642" s="1" t="s">
        <v>105</v>
      </c>
    </row>
    <row r="643" customFormat="false" ht="15" hidden="false" customHeight="true" outlineLevel="0" collapsed="false">
      <c r="A643" s="1" t="s">
        <v>862</v>
      </c>
      <c r="B643" s="1" t="s">
        <v>117</v>
      </c>
      <c r="C643" s="1" t="s">
        <v>87</v>
      </c>
    </row>
    <row r="644" customFormat="false" ht="15" hidden="false" customHeight="true" outlineLevel="0" collapsed="false">
      <c r="A644" s="1" t="s">
        <v>863</v>
      </c>
      <c r="B644" s="1" t="s">
        <v>126</v>
      </c>
      <c r="C644" s="1" t="s">
        <v>117</v>
      </c>
    </row>
    <row r="645" customFormat="false" ht="15" hidden="false" customHeight="true" outlineLevel="0" collapsed="false">
      <c r="A645" s="1" t="s">
        <v>864</v>
      </c>
      <c r="B645" s="1" t="s">
        <v>82</v>
      </c>
      <c r="C645" s="1" t="s">
        <v>83</v>
      </c>
    </row>
    <row r="646" customFormat="false" ht="15" hidden="false" customHeight="true" outlineLevel="0" collapsed="false">
      <c r="A646" s="1" t="s">
        <v>865</v>
      </c>
      <c r="B646" s="1" t="s">
        <v>82</v>
      </c>
      <c r="C646" s="1" t="s">
        <v>83</v>
      </c>
    </row>
    <row r="647" customFormat="false" ht="15" hidden="false" customHeight="true" outlineLevel="0" collapsed="false">
      <c r="A647" s="1" t="s">
        <v>866</v>
      </c>
      <c r="B647" s="1" t="s">
        <v>304</v>
      </c>
      <c r="C647" s="1" t="s">
        <v>80</v>
      </c>
    </row>
    <row r="648" customFormat="false" ht="15" hidden="false" customHeight="true" outlineLevel="0" collapsed="false">
      <c r="A648" s="1" t="s">
        <v>39</v>
      </c>
      <c r="B648" s="1" t="s">
        <v>82</v>
      </c>
      <c r="C648" s="1" t="s">
        <v>80</v>
      </c>
    </row>
    <row r="649" customFormat="false" ht="15" hidden="false" customHeight="true" outlineLevel="0" collapsed="false">
      <c r="A649" s="1" t="s">
        <v>867</v>
      </c>
      <c r="B649" s="1" t="s">
        <v>79</v>
      </c>
      <c r="C649" s="1" t="s">
        <v>80</v>
      </c>
    </row>
    <row r="650" customFormat="false" ht="15" hidden="false" customHeight="true" outlineLevel="0" collapsed="false">
      <c r="A650" s="1" t="s">
        <v>868</v>
      </c>
      <c r="B650" s="1" t="s">
        <v>96</v>
      </c>
      <c r="C650" s="1" t="s">
        <v>80</v>
      </c>
    </row>
    <row r="651" customFormat="false" ht="15" hidden="false" customHeight="true" outlineLevel="0" collapsed="false">
      <c r="A651" s="1" t="s">
        <v>869</v>
      </c>
      <c r="B651" s="1" t="s">
        <v>96</v>
      </c>
      <c r="C651" s="1" t="s">
        <v>80</v>
      </c>
    </row>
    <row r="652" customFormat="false" ht="15" hidden="false" customHeight="true" outlineLevel="0" collapsed="false">
      <c r="A652" s="1" t="s">
        <v>870</v>
      </c>
      <c r="B652" s="1" t="s">
        <v>111</v>
      </c>
      <c r="C652" s="1" t="s">
        <v>630</v>
      </c>
    </row>
    <row r="653" customFormat="false" ht="15" hidden="false" customHeight="true" outlineLevel="0" collapsed="false">
      <c r="A653" s="1" t="s">
        <v>871</v>
      </c>
      <c r="B653" s="1" t="s">
        <v>79</v>
      </c>
      <c r="C653" s="1" t="s">
        <v>80</v>
      </c>
    </row>
    <row r="654" customFormat="false" ht="15" hidden="false" customHeight="true" outlineLevel="0" collapsed="false">
      <c r="A654" s="1" t="s">
        <v>872</v>
      </c>
      <c r="B654" s="1" t="s">
        <v>96</v>
      </c>
      <c r="C654" s="1" t="s">
        <v>80</v>
      </c>
    </row>
    <row r="655" customFormat="false" ht="15" hidden="false" customHeight="true" outlineLevel="0" collapsed="false">
      <c r="A655" s="1" t="s">
        <v>873</v>
      </c>
      <c r="B655" s="1" t="s">
        <v>96</v>
      </c>
      <c r="C655" s="1" t="s">
        <v>80</v>
      </c>
    </row>
    <row r="656" customFormat="false" ht="15" hidden="false" customHeight="true" outlineLevel="0" collapsed="false">
      <c r="A656" s="1" t="s">
        <v>874</v>
      </c>
      <c r="B656" s="1" t="s">
        <v>85</v>
      </c>
      <c r="C656" s="1" t="s">
        <v>80</v>
      </c>
    </row>
    <row r="657" customFormat="false" ht="15" hidden="false" customHeight="true" outlineLevel="0" collapsed="false">
      <c r="A657" s="1" t="s">
        <v>875</v>
      </c>
      <c r="B657" s="1" t="s">
        <v>102</v>
      </c>
      <c r="C657" s="1" t="s">
        <v>80</v>
      </c>
    </row>
    <row r="658" customFormat="false" ht="15" hidden="false" customHeight="true" outlineLevel="0" collapsed="false">
      <c r="A658" s="1" t="s">
        <v>876</v>
      </c>
      <c r="B658" s="1" t="s">
        <v>96</v>
      </c>
      <c r="C658" s="1" t="s">
        <v>80</v>
      </c>
    </row>
    <row r="659" customFormat="false" ht="15" hidden="false" customHeight="true" outlineLevel="0" collapsed="false">
      <c r="A659" s="1" t="s">
        <v>877</v>
      </c>
      <c r="B659" s="1" t="s">
        <v>85</v>
      </c>
      <c r="C659" s="1" t="s">
        <v>878</v>
      </c>
    </row>
    <row r="660" customFormat="false" ht="15" hidden="false" customHeight="true" outlineLevel="0" collapsed="false">
      <c r="A660" s="1" t="s">
        <v>879</v>
      </c>
      <c r="B660" s="1" t="s">
        <v>142</v>
      </c>
      <c r="C660" s="1" t="s">
        <v>263</v>
      </c>
    </row>
    <row r="661" customFormat="false" ht="15" hidden="false" customHeight="true" outlineLevel="0" collapsed="false">
      <c r="A661" s="1" t="s">
        <v>880</v>
      </c>
      <c r="B661" s="1" t="s">
        <v>85</v>
      </c>
      <c r="C661" s="1" t="s">
        <v>122</v>
      </c>
    </row>
    <row r="662" customFormat="false" ht="15" hidden="false" customHeight="true" outlineLevel="0" collapsed="false">
      <c r="A662" s="1" t="s">
        <v>881</v>
      </c>
      <c r="B662" s="1" t="s">
        <v>85</v>
      </c>
      <c r="C662" s="1" t="s">
        <v>102</v>
      </c>
    </row>
    <row r="663" customFormat="false" ht="15" hidden="false" customHeight="true" outlineLevel="0" collapsed="false">
      <c r="A663" s="1" t="s">
        <v>882</v>
      </c>
      <c r="B663" s="1" t="s">
        <v>85</v>
      </c>
      <c r="C663" s="1" t="s">
        <v>142</v>
      </c>
    </row>
    <row r="664" customFormat="false" ht="15" hidden="false" customHeight="true" outlineLevel="0" collapsed="false">
      <c r="A664" s="1" t="s">
        <v>883</v>
      </c>
      <c r="B664" s="1" t="s">
        <v>85</v>
      </c>
      <c r="C664" s="1" t="s">
        <v>80</v>
      </c>
    </row>
    <row r="665" customFormat="false" ht="15" hidden="false" customHeight="true" outlineLevel="0" collapsed="false">
      <c r="A665" s="1" t="s">
        <v>884</v>
      </c>
      <c r="B665" s="1" t="s">
        <v>142</v>
      </c>
      <c r="C665" s="1" t="s">
        <v>80</v>
      </c>
    </row>
    <row r="666" customFormat="false" ht="15" hidden="false" customHeight="true" outlineLevel="0" collapsed="false">
      <c r="A666" s="1" t="s">
        <v>885</v>
      </c>
      <c r="B666" s="1" t="s">
        <v>79</v>
      </c>
      <c r="C666" s="1" t="s">
        <v>85</v>
      </c>
    </row>
    <row r="667" customFormat="false" ht="15" hidden="false" customHeight="true" outlineLevel="0" collapsed="false">
      <c r="A667" s="1" t="s">
        <v>886</v>
      </c>
      <c r="B667" s="1" t="s">
        <v>93</v>
      </c>
      <c r="C667" s="1" t="s">
        <v>887</v>
      </c>
    </row>
    <row r="668" customFormat="false" ht="15" hidden="false" customHeight="true" outlineLevel="0" collapsed="false">
      <c r="A668" s="1" t="s">
        <v>888</v>
      </c>
      <c r="B668" s="1" t="s">
        <v>79</v>
      </c>
      <c r="C668" s="1" t="s">
        <v>80</v>
      </c>
    </row>
    <row r="669" customFormat="false" ht="15" hidden="false" customHeight="true" outlineLevel="0" collapsed="false">
      <c r="A669" s="1" t="s">
        <v>889</v>
      </c>
      <c r="B669" s="1" t="s">
        <v>85</v>
      </c>
      <c r="C669" s="1" t="s">
        <v>80</v>
      </c>
    </row>
    <row r="670" customFormat="false" ht="15" hidden="false" customHeight="true" outlineLevel="0" collapsed="false">
      <c r="A670" s="1" t="s">
        <v>890</v>
      </c>
      <c r="B670" s="1" t="s">
        <v>85</v>
      </c>
      <c r="C670" s="1" t="s">
        <v>122</v>
      </c>
    </row>
    <row r="671" customFormat="false" ht="15" hidden="false" customHeight="true" outlineLevel="0" collapsed="false">
      <c r="A671" s="1" t="s">
        <v>891</v>
      </c>
      <c r="B671" s="1" t="s">
        <v>87</v>
      </c>
      <c r="C671" s="1" t="s">
        <v>80</v>
      </c>
    </row>
    <row r="672" customFormat="false" ht="15" hidden="false" customHeight="true" outlineLevel="0" collapsed="false">
      <c r="A672" s="1" t="s">
        <v>892</v>
      </c>
      <c r="B672" s="1" t="s">
        <v>87</v>
      </c>
      <c r="C672" s="1" t="s">
        <v>82</v>
      </c>
    </row>
    <row r="673" customFormat="false" ht="15" hidden="false" customHeight="true" outlineLevel="0" collapsed="false">
      <c r="A673" s="1" t="s">
        <v>893</v>
      </c>
      <c r="B673" s="1" t="s">
        <v>304</v>
      </c>
      <c r="C673" s="1" t="s">
        <v>80</v>
      </c>
    </row>
    <row r="674" customFormat="false" ht="15" hidden="false" customHeight="true" outlineLevel="0" collapsed="false">
      <c r="A674" s="1" t="s">
        <v>894</v>
      </c>
      <c r="B674" s="1" t="s">
        <v>93</v>
      </c>
      <c r="C674" s="1" t="s">
        <v>169</v>
      </c>
    </row>
    <row r="675" customFormat="false" ht="15" hidden="false" customHeight="true" outlineLevel="0" collapsed="false">
      <c r="A675" s="1" t="s">
        <v>895</v>
      </c>
      <c r="B675" s="1" t="s">
        <v>142</v>
      </c>
      <c r="C675" s="1" t="s">
        <v>827</v>
      </c>
    </row>
    <row r="676" customFormat="false" ht="15" hidden="false" customHeight="true" outlineLevel="0" collapsed="false">
      <c r="A676" s="1" t="s">
        <v>896</v>
      </c>
      <c r="B676" s="1" t="s">
        <v>85</v>
      </c>
      <c r="C676" s="1" t="s">
        <v>897</v>
      </c>
    </row>
    <row r="677" customFormat="false" ht="15" hidden="false" customHeight="true" outlineLevel="0" collapsed="false">
      <c r="A677" s="1" t="s">
        <v>898</v>
      </c>
      <c r="B677" s="1" t="s">
        <v>93</v>
      </c>
      <c r="C677" s="1" t="s">
        <v>887</v>
      </c>
    </row>
    <row r="678" customFormat="false" ht="15" hidden="false" customHeight="true" outlineLevel="0" collapsed="false">
      <c r="A678" s="1" t="s">
        <v>899</v>
      </c>
      <c r="B678" s="1" t="s">
        <v>105</v>
      </c>
      <c r="C678" s="1" t="s">
        <v>80</v>
      </c>
    </row>
    <row r="679" customFormat="false" ht="15" hidden="false" customHeight="true" outlineLevel="0" collapsed="false">
      <c r="A679" s="1" t="s">
        <v>900</v>
      </c>
      <c r="B679" s="1" t="s">
        <v>85</v>
      </c>
      <c r="C679" s="1" t="s">
        <v>176</v>
      </c>
    </row>
    <row r="680" customFormat="false" ht="15" hidden="false" customHeight="true" outlineLevel="0" collapsed="false">
      <c r="A680" s="1" t="s">
        <v>901</v>
      </c>
      <c r="B680" s="1" t="s">
        <v>105</v>
      </c>
      <c r="C680" s="1" t="s">
        <v>155</v>
      </c>
    </row>
    <row r="681" customFormat="false" ht="15" hidden="false" customHeight="true" outlineLevel="0" collapsed="false">
      <c r="A681" s="1" t="s">
        <v>902</v>
      </c>
      <c r="B681" s="1" t="s">
        <v>93</v>
      </c>
      <c r="C681" s="1" t="s">
        <v>169</v>
      </c>
    </row>
    <row r="682" customFormat="false" ht="15" hidden="false" customHeight="true" outlineLevel="0" collapsed="false">
      <c r="A682" s="1" t="s">
        <v>903</v>
      </c>
      <c r="B682" s="1" t="s">
        <v>93</v>
      </c>
      <c r="C682" s="1" t="s">
        <v>227</v>
      </c>
    </row>
    <row r="683" customFormat="false" ht="15" hidden="false" customHeight="true" outlineLevel="0" collapsed="false">
      <c r="A683" s="1" t="s">
        <v>904</v>
      </c>
      <c r="B683" s="1" t="s">
        <v>93</v>
      </c>
      <c r="C683" s="1" t="s">
        <v>887</v>
      </c>
    </row>
    <row r="684" customFormat="false" ht="15" hidden="false" customHeight="true" outlineLevel="0" collapsed="false">
      <c r="A684" s="1" t="s">
        <v>905</v>
      </c>
      <c r="B684" s="1" t="s">
        <v>93</v>
      </c>
      <c r="C684" s="1" t="s">
        <v>887</v>
      </c>
    </row>
    <row r="685" customFormat="false" ht="15" hidden="false" customHeight="true" outlineLevel="0" collapsed="false">
      <c r="A685" s="1" t="s">
        <v>906</v>
      </c>
      <c r="B685" s="1" t="s">
        <v>93</v>
      </c>
      <c r="C685" s="1" t="s">
        <v>80</v>
      </c>
    </row>
    <row r="686" customFormat="false" ht="15" hidden="false" customHeight="true" outlineLevel="0" collapsed="false">
      <c r="A686" s="1" t="s">
        <v>907</v>
      </c>
      <c r="B686" s="1" t="s">
        <v>93</v>
      </c>
      <c r="C686" s="1" t="s">
        <v>887</v>
      </c>
    </row>
    <row r="687" customFormat="false" ht="15" hidden="false" customHeight="true" outlineLevel="0" collapsed="false">
      <c r="A687" s="1" t="s">
        <v>908</v>
      </c>
      <c r="B687" s="1" t="s">
        <v>85</v>
      </c>
      <c r="C687" s="1" t="s">
        <v>788</v>
      </c>
    </row>
    <row r="688" customFormat="false" ht="15" hidden="false" customHeight="true" outlineLevel="0" collapsed="false">
      <c r="A688" s="1" t="s">
        <v>909</v>
      </c>
      <c r="B688" s="1" t="s">
        <v>93</v>
      </c>
      <c r="C688" s="1" t="s">
        <v>162</v>
      </c>
    </row>
    <row r="689" customFormat="false" ht="15" hidden="false" customHeight="true" outlineLevel="0" collapsed="false">
      <c r="A689" s="1" t="s">
        <v>910</v>
      </c>
      <c r="B689" s="1" t="s">
        <v>117</v>
      </c>
      <c r="C689" s="1" t="s">
        <v>82</v>
      </c>
    </row>
    <row r="690" customFormat="false" ht="15" hidden="false" customHeight="true" outlineLevel="0" collapsed="false">
      <c r="A690" s="1" t="s">
        <v>911</v>
      </c>
      <c r="B690" s="1" t="s">
        <v>93</v>
      </c>
      <c r="C690" s="1" t="s">
        <v>162</v>
      </c>
    </row>
    <row r="691" customFormat="false" ht="15" hidden="false" customHeight="true" outlineLevel="0" collapsed="false">
      <c r="A691" s="1" t="s">
        <v>912</v>
      </c>
      <c r="B691" s="1" t="s">
        <v>79</v>
      </c>
      <c r="C691" s="1" t="s">
        <v>80</v>
      </c>
    </row>
    <row r="692" customFormat="false" ht="15" hidden="false" customHeight="true" outlineLevel="0" collapsed="false">
      <c r="A692" s="1" t="s">
        <v>913</v>
      </c>
      <c r="B692" s="1" t="s">
        <v>93</v>
      </c>
      <c r="C692" s="1" t="s">
        <v>914</v>
      </c>
    </row>
    <row r="693" customFormat="false" ht="15" hidden="false" customHeight="true" outlineLevel="0" collapsed="false">
      <c r="A693" s="1" t="s">
        <v>915</v>
      </c>
      <c r="B693" s="1" t="s">
        <v>93</v>
      </c>
      <c r="C693" s="1" t="s">
        <v>100</v>
      </c>
    </row>
    <row r="694" customFormat="false" ht="15" hidden="false" customHeight="true" outlineLevel="0" collapsed="false">
      <c r="A694" s="1" t="s">
        <v>916</v>
      </c>
      <c r="B694" s="1" t="s">
        <v>93</v>
      </c>
      <c r="C694" s="1" t="s">
        <v>169</v>
      </c>
    </row>
    <row r="695" customFormat="false" ht="15" hidden="false" customHeight="true" outlineLevel="0" collapsed="false">
      <c r="A695" s="1" t="s">
        <v>917</v>
      </c>
      <c r="B695" s="1" t="s">
        <v>85</v>
      </c>
      <c r="C695" s="1" t="s">
        <v>918</v>
      </c>
    </row>
    <row r="696" customFormat="false" ht="15" hidden="false" customHeight="true" outlineLevel="0" collapsed="false">
      <c r="A696" s="1" t="s">
        <v>919</v>
      </c>
      <c r="B696" s="1" t="s">
        <v>102</v>
      </c>
      <c r="C696" s="1" t="s">
        <v>80</v>
      </c>
    </row>
    <row r="697" customFormat="false" ht="15" hidden="false" customHeight="true" outlineLevel="0" collapsed="false">
      <c r="A697" s="1" t="s">
        <v>920</v>
      </c>
      <c r="B697" s="1" t="s">
        <v>93</v>
      </c>
      <c r="C697" s="1" t="s">
        <v>921</v>
      </c>
    </row>
    <row r="698" customFormat="false" ht="15" hidden="false" customHeight="true" outlineLevel="0" collapsed="false">
      <c r="A698" s="1" t="s">
        <v>922</v>
      </c>
      <c r="B698" s="1" t="s">
        <v>85</v>
      </c>
      <c r="C698" s="1" t="s">
        <v>80</v>
      </c>
    </row>
    <row r="699" customFormat="false" ht="15" hidden="false" customHeight="true" outlineLevel="0" collapsed="false">
      <c r="A699" s="1" t="s">
        <v>923</v>
      </c>
      <c r="B699" s="1" t="s">
        <v>111</v>
      </c>
      <c r="C699" s="1" t="s">
        <v>112</v>
      </c>
    </row>
    <row r="700" customFormat="false" ht="15" hidden="false" customHeight="true" outlineLevel="0" collapsed="false">
      <c r="A700" s="1" t="s">
        <v>924</v>
      </c>
      <c r="B700" s="1" t="s">
        <v>79</v>
      </c>
      <c r="C700" s="1" t="s">
        <v>925</v>
      </c>
    </row>
    <row r="701" customFormat="false" ht="15" hidden="false" customHeight="true" outlineLevel="0" collapsed="false">
      <c r="A701" s="1" t="s">
        <v>926</v>
      </c>
      <c r="B701" s="1" t="s">
        <v>85</v>
      </c>
      <c r="C701" s="1" t="s">
        <v>105</v>
      </c>
    </row>
    <row r="702" customFormat="false" ht="15" hidden="false" customHeight="true" outlineLevel="0" collapsed="false">
      <c r="A702" s="1" t="s">
        <v>927</v>
      </c>
      <c r="B702" s="1" t="s">
        <v>122</v>
      </c>
      <c r="C702" s="1" t="s">
        <v>85</v>
      </c>
    </row>
    <row r="703" customFormat="false" ht="15" hidden="false" customHeight="true" outlineLevel="0" collapsed="false">
      <c r="A703" s="1" t="s">
        <v>10</v>
      </c>
      <c r="B703" s="1" t="s">
        <v>105</v>
      </c>
      <c r="C703" s="1" t="s">
        <v>155</v>
      </c>
    </row>
    <row r="704" customFormat="false" ht="15" hidden="false" customHeight="true" outlineLevel="0" collapsed="false">
      <c r="A704" s="1" t="s">
        <v>928</v>
      </c>
      <c r="B704" s="1" t="s">
        <v>111</v>
      </c>
      <c r="C704" s="1" t="s">
        <v>207</v>
      </c>
    </row>
    <row r="705" customFormat="false" ht="15" hidden="false" customHeight="true" outlineLevel="0" collapsed="false">
      <c r="A705" s="1" t="s">
        <v>929</v>
      </c>
      <c r="B705" s="1" t="s">
        <v>83</v>
      </c>
      <c r="C705" s="1" t="s">
        <v>80</v>
      </c>
    </row>
    <row r="706" customFormat="false" ht="15" hidden="false" customHeight="true" outlineLevel="0" collapsed="false">
      <c r="A706" s="1" t="s">
        <v>930</v>
      </c>
      <c r="B706" s="1" t="s">
        <v>102</v>
      </c>
      <c r="C706" s="1" t="s">
        <v>193</v>
      </c>
    </row>
    <row r="707" customFormat="false" ht="15" hidden="false" customHeight="true" outlineLevel="0" collapsed="false">
      <c r="A707" s="1" t="s">
        <v>931</v>
      </c>
      <c r="B707" s="1" t="s">
        <v>105</v>
      </c>
      <c r="C707" s="1" t="s">
        <v>155</v>
      </c>
    </row>
    <row r="708" customFormat="false" ht="15" hidden="false" customHeight="true" outlineLevel="0" collapsed="false">
      <c r="A708" s="1" t="s">
        <v>932</v>
      </c>
      <c r="B708" s="1" t="s">
        <v>82</v>
      </c>
      <c r="C708" s="1" t="s">
        <v>933</v>
      </c>
    </row>
    <row r="709" customFormat="false" ht="15" hidden="false" customHeight="true" outlineLevel="0" collapsed="false">
      <c r="A709" s="1" t="s">
        <v>934</v>
      </c>
      <c r="B709" s="1" t="s">
        <v>79</v>
      </c>
      <c r="C709" s="1" t="s">
        <v>80</v>
      </c>
    </row>
    <row r="710" customFormat="false" ht="15" hidden="false" customHeight="true" outlineLevel="0" collapsed="false">
      <c r="A710" s="1" t="s">
        <v>935</v>
      </c>
      <c r="B710" s="1" t="s">
        <v>105</v>
      </c>
      <c r="C710" s="1" t="s">
        <v>155</v>
      </c>
    </row>
    <row r="711" customFormat="false" ht="15" hidden="false" customHeight="true" outlineLevel="0" collapsed="false">
      <c r="A711" s="1" t="s">
        <v>936</v>
      </c>
      <c r="B711" s="1" t="s">
        <v>93</v>
      </c>
      <c r="C711" s="1" t="s">
        <v>169</v>
      </c>
    </row>
    <row r="712" customFormat="false" ht="15" hidden="false" customHeight="true" outlineLevel="0" collapsed="false">
      <c r="A712" s="1" t="s">
        <v>937</v>
      </c>
      <c r="B712" s="1" t="s">
        <v>85</v>
      </c>
      <c r="C712" s="1" t="s">
        <v>398</v>
      </c>
    </row>
    <row r="713" customFormat="false" ht="15" hidden="false" customHeight="true" outlineLevel="0" collapsed="false">
      <c r="A713" s="1" t="s">
        <v>938</v>
      </c>
      <c r="B713" s="1" t="s">
        <v>85</v>
      </c>
      <c r="C713" s="1" t="s">
        <v>102</v>
      </c>
    </row>
    <row r="714" customFormat="false" ht="15" hidden="false" customHeight="true" outlineLevel="0" collapsed="false">
      <c r="A714" s="1" t="s">
        <v>939</v>
      </c>
      <c r="B714" s="1" t="s">
        <v>93</v>
      </c>
      <c r="C714" s="1" t="s">
        <v>169</v>
      </c>
    </row>
    <row r="715" customFormat="false" ht="15" hidden="false" customHeight="true" outlineLevel="0" collapsed="false">
      <c r="A715" s="1" t="s">
        <v>940</v>
      </c>
      <c r="B715" s="1" t="s">
        <v>83</v>
      </c>
      <c r="C715" s="1" t="s">
        <v>80</v>
      </c>
    </row>
    <row r="716" customFormat="false" ht="15" hidden="false" customHeight="true" outlineLevel="0" collapsed="false">
      <c r="A716" s="1" t="s">
        <v>941</v>
      </c>
      <c r="B716" s="1" t="s">
        <v>93</v>
      </c>
      <c r="C716" s="1" t="s">
        <v>160</v>
      </c>
    </row>
    <row r="717" customFormat="false" ht="15" hidden="false" customHeight="true" outlineLevel="0" collapsed="false">
      <c r="A717" s="1" t="s">
        <v>942</v>
      </c>
      <c r="B717" s="1" t="s">
        <v>82</v>
      </c>
      <c r="C717" s="1" t="s">
        <v>145</v>
      </c>
    </row>
    <row r="718" customFormat="false" ht="15" hidden="false" customHeight="true" outlineLevel="0" collapsed="false">
      <c r="A718" s="1" t="s">
        <v>943</v>
      </c>
      <c r="B718" s="1" t="s">
        <v>122</v>
      </c>
      <c r="C718" s="1" t="s">
        <v>327</v>
      </c>
    </row>
    <row r="719" customFormat="false" ht="15" hidden="false" customHeight="true" outlineLevel="0" collapsed="false">
      <c r="A719" s="1" t="s">
        <v>944</v>
      </c>
      <c r="B719" s="1" t="s">
        <v>93</v>
      </c>
      <c r="C719" s="1" t="s">
        <v>169</v>
      </c>
    </row>
    <row r="720" customFormat="false" ht="15" hidden="false" customHeight="true" outlineLevel="0" collapsed="false">
      <c r="A720" s="1" t="s">
        <v>945</v>
      </c>
      <c r="B720" s="1" t="s">
        <v>93</v>
      </c>
      <c r="C720" s="1" t="s">
        <v>946</v>
      </c>
    </row>
    <row r="721" customFormat="false" ht="15" hidden="false" customHeight="true" outlineLevel="0" collapsed="false">
      <c r="A721" s="1" t="s">
        <v>947</v>
      </c>
      <c r="B721" s="1" t="s">
        <v>93</v>
      </c>
      <c r="C721" s="1" t="s">
        <v>948</v>
      </c>
    </row>
    <row r="722" customFormat="false" ht="15" hidden="false" customHeight="true" outlineLevel="0" collapsed="false">
      <c r="A722" s="1" t="s">
        <v>949</v>
      </c>
      <c r="B722" s="1" t="s">
        <v>82</v>
      </c>
      <c r="C722" s="1" t="s">
        <v>950</v>
      </c>
    </row>
    <row r="723" customFormat="false" ht="15" hidden="false" customHeight="true" outlineLevel="0" collapsed="false">
      <c r="A723" s="1" t="s">
        <v>951</v>
      </c>
      <c r="B723" s="1" t="s">
        <v>82</v>
      </c>
      <c r="C723" s="1" t="s">
        <v>547</v>
      </c>
    </row>
    <row r="724" customFormat="false" ht="15" hidden="false" customHeight="true" outlineLevel="0" collapsed="false">
      <c r="A724" s="1" t="s">
        <v>952</v>
      </c>
      <c r="B724" s="1" t="s">
        <v>122</v>
      </c>
      <c r="C724" s="1" t="s">
        <v>313</v>
      </c>
    </row>
    <row r="725" customFormat="false" ht="15" hidden="false" customHeight="true" outlineLevel="0" collapsed="false">
      <c r="A725" s="1" t="s">
        <v>953</v>
      </c>
      <c r="B725" s="1" t="s">
        <v>93</v>
      </c>
      <c r="C725" s="1" t="s">
        <v>764</v>
      </c>
    </row>
    <row r="726" customFormat="false" ht="15" hidden="false" customHeight="true" outlineLevel="0" collapsed="false">
      <c r="A726" s="1" t="s">
        <v>954</v>
      </c>
      <c r="B726" s="1" t="s">
        <v>102</v>
      </c>
      <c r="C726" s="1" t="s">
        <v>80</v>
      </c>
    </row>
    <row r="727" customFormat="false" ht="15" hidden="false" customHeight="true" outlineLevel="0" collapsed="false">
      <c r="A727" s="1" t="s">
        <v>955</v>
      </c>
      <c r="B727" s="1" t="s">
        <v>93</v>
      </c>
      <c r="C727" s="1" t="s">
        <v>169</v>
      </c>
    </row>
    <row r="728" customFormat="false" ht="15" hidden="false" customHeight="true" outlineLevel="0" collapsed="false">
      <c r="A728" s="1" t="s">
        <v>956</v>
      </c>
      <c r="B728" s="1" t="s">
        <v>93</v>
      </c>
      <c r="C728" s="1" t="s">
        <v>160</v>
      </c>
    </row>
    <row r="729" customFormat="false" ht="15" hidden="false" customHeight="true" outlineLevel="0" collapsed="false">
      <c r="A729" s="1" t="s">
        <v>957</v>
      </c>
      <c r="B729" s="1" t="s">
        <v>79</v>
      </c>
      <c r="C729" s="1" t="s">
        <v>958</v>
      </c>
    </row>
    <row r="730" customFormat="false" ht="15" hidden="false" customHeight="true" outlineLevel="0" collapsed="false">
      <c r="A730" s="1" t="s">
        <v>959</v>
      </c>
      <c r="B730" s="1" t="s">
        <v>79</v>
      </c>
      <c r="C730" s="1" t="s">
        <v>724</v>
      </c>
    </row>
    <row r="731" customFormat="false" ht="15" hidden="false" customHeight="true" outlineLevel="0" collapsed="false">
      <c r="A731" s="1" t="s">
        <v>960</v>
      </c>
      <c r="B731" s="1" t="s">
        <v>95</v>
      </c>
      <c r="C731" s="1" t="s">
        <v>80</v>
      </c>
    </row>
    <row r="732" customFormat="false" ht="15" hidden="false" customHeight="true" outlineLevel="0" collapsed="false">
      <c r="A732" s="1" t="s">
        <v>961</v>
      </c>
      <c r="B732" s="1" t="s">
        <v>111</v>
      </c>
      <c r="C732" s="1" t="s">
        <v>962</v>
      </c>
    </row>
    <row r="733" customFormat="false" ht="15" hidden="false" customHeight="true" outlineLevel="0" collapsed="false">
      <c r="A733" s="1" t="s">
        <v>963</v>
      </c>
      <c r="B733" s="1" t="s">
        <v>93</v>
      </c>
      <c r="C733" s="1" t="s">
        <v>480</v>
      </c>
    </row>
    <row r="734" customFormat="false" ht="15" hidden="false" customHeight="true" outlineLevel="0" collapsed="false">
      <c r="A734" s="1" t="s">
        <v>964</v>
      </c>
      <c r="B734" s="1" t="s">
        <v>93</v>
      </c>
      <c r="C734" s="1" t="s">
        <v>374</v>
      </c>
    </row>
    <row r="735" customFormat="false" ht="15" hidden="false" customHeight="true" outlineLevel="0" collapsed="false">
      <c r="A735" s="1" t="s">
        <v>965</v>
      </c>
      <c r="B735" s="1" t="s">
        <v>93</v>
      </c>
      <c r="C735" s="1" t="s">
        <v>169</v>
      </c>
    </row>
    <row r="736" customFormat="false" ht="15" hidden="false" customHeight="true" outlineLevel="0" collapsed="false">
      <c r="A736" s="1" t="s">
        <v>966</v>
      </c>
      <c r="B736" s="1" t="s">
        <v>82</v>
      </c>
      <c r="C736" s="1" t="s">
        <v>967</v>
      </c>
    </row>
    <row r="737" customFormat="false" ht="15" hidden="false" customHeight="true" outlineLevel="0" collapsed="false">
      <c r="A737" s="1" t="s">
        <v>968</v>
      </c>
      <c r="B737" s="1" t="s">
        <v>93</v>
      </c>
      <c r="C737" s="1" t="s">
        <v>227</v>
      </c>
    </row>
    <row r="738" customFormat="false" ht="15" hidden="false" customHeight="true" outlineLevel="0" collapsed="false">
      <c r="A738" s="1" t="s">
        <v>969</v>
      </c>
      <c r="B738" s="1" t="s">
        <v>82</v>
      </c>
      <c r="C738" s="1" t="s">
        <v>613</v>
      </c>
    </row>
    <row r="739" customFormat="false" ht="15" hidden="false" customHeight="true" outlineLevel="0" collapsed="false">
      <c r="A739" s="1" t="s">
        <v>970</v>
      </c>
      <c r="B739" s="1" t="s">
        <v>93</v>
      </c>
      <c r="C739" s="1" t="s">
        <v>948</v>
      </c>
    </row>
    <row r="740" customFormat="false" ht="15" hidden="false" customHeight="true" outlineLevel="0" collapsed="false">
      <c r="A740" s="1" t="s">
        <v>971</v>
      </c>
      <c r="B740" s="1" t="s">
        <v>93</v>
      </c>
      <c r="C740" s="1" t="s">
        <v>237</v>
      </c>
    </row>
    <row r="741" customFormat="false" ht="15" hidden="false" customHeight="true" outlineLevel="0" collapsed="false">
      <c r="A741" s="1" t="s">
        <v>972</v>
      </c>
      <c r="B741" s="1" t="s">
        <v>93</v>
      </c>
      <c r="C741" s="1" t="s">
        <v>237</v>
      </c>
    </row>
    <row r="742" customFormat="false" ht="15" hidden="false" customHeight="true" outlineLevel="0" collapsed="false">
      <c r="A742" s="1" t="s">
        <v>973</v>
      </c>
      <c r="B742" s="1" t="s">
        <v>93</v>
      </c>
      <c r="C742" s="1" t="s">
        <v>100</v>
      </c>
    </row>
    <row r="743" customFormat="false" ht="15" hidden="false" customHeight="true" outlineLevel="0" collapsed="false">
      <c r="A743" s="1" t="s">
        <v>974</v>
      </c>
      <c r="B743" s="1" t="s">
        <v>93</v>
      </c>
      <c r="C743" s="1" t="s">
        <v>160</v>
      </c>
    </row>
    <row r="744" customFormat="false" ht="15" hidden="false" customHeight="true" outlineLevel="0" collapsed="false">
      <c r="A744" s="1" t="s">
        <v>975</v>
      </c>
      <c r="B744" s="1" t="s">
        <v>93</v>
      </c>
      <c r="C744" s="1" t="s">
        <v>169</v>
      </c>
    </row>
    <row r="745" customFormat="false" ht="15" hidden="false" customHeight="true" outlineLevel="0" collapsed="false">
      <c r="A745" s="1" t="s">
        <v>976</v>
      </c>
      <c r="B745" s="1" t="s">
        <v>85</v>
      </c>
      <c r="C745" s="1" t="s">
        <v>102</v>
      </c>
    </row>
    <row r="746" customFormat="false" ht="15" hidden="false" customHeight="true" outlineLevel="0" collapsed="false">
      <c r="A746" s="1" t="s">
        <v>977</v>
      </c>
      <c r="B746" s="1" t="s">
        <v>83</v>
      </c>
      <c r="C746" s="1" t="s">
        <v>80</v>
      </c>
    </row>
    <row r="747" customFormat="false" ht="15" hidden="false" customHeight="true" outlineLevel="0" collapsed="false">
      <c r="A747" s="1" t="s">
        <v>978</v>
      </c>
      <c r="B747" s="1" t="s">
        <v>85</v>
      </c>
      <c r="C747" s="1" t="s">
        <v>102</v>
      </c>
    </row>
    <row r="748" customFormat="false" ht="15" hidden="false" customHeight="true" outlineLevel="0" collapsed="false">
      <c r="A748" s="1" t="s">
        <v>979</v>
      </c>
      <c r="B748" s="1" t="s">
        <v>102</v>
      </c>
      <c r="C748" s="1" t="s">
        <v>85</v>
      </c>
    </row>
    <row r="749" customFormat="false" ht="15" hidden="false" customHeight="true" outlineLevel="0" collapsed="false">
      <c r="A749" s="1" t="s">
        <v>980</v>
      </c>
      <c r="B749" s="1" t="s">
        <v>102</v>
      </c>
      <c r="C749" s="1" t="s">
        <v>80</v>
      </c>
    </row>
    <row r="750" customFormat="false" ht="15" hidden="false" customHeight="true" outlineLevel="0" collapsed="false">
      <c r="A750" s="1" t="s">
        <v>981</v>
      </c>
      <c r="B750" s="1" t="s">
        <v>95</v>
      </c>
      <c r="C750" s="1" t="s">
        <v>80</v>
      </c>
    </row>
    <row r="751" customFormat="false" ht="15" hidden="false" customHeight="true" outlineLevel="0" collapsed="false">
      <c r="A751" s="1" t="s">
        <v>982</v>
      </c>
      <c r="B751" s="1" t="s">
        <v>95</v>
      </c>
      <c r="C751" s="1" t="s">
        <v>193</v>
      </c>
    </row>
    <row r="752" customFormat="false" ht="15" hidden="false" customHeight="true" outlineLevel="0" collapsed="false">
      <c r="A752" s="1" t="s">
        <v>983</v>
      </c>
      <c r="B752" s="1" t="s">
        <v>85</v>
      </c>
      <c r="C752" s="1" t="s">
        <v>102</v>
      </c>
    </row>
    <row r="753" customFormat="false" ht="15" hidden="false" customHeight="true" outlineLevel="0" collapsed="false">
      <c r="A753" s="1" t="s">
        <v>984</v>
      </c>
      <c r="B753" s="1" t="s">
        <v>105</v>
      </c>
      <c r="C753" s="1" t="s">
        <v>155</v>
      </c>
    </row>
    <row r="754" customFormat="false" ht="15" hidden="false" customHeight="true" outlineLevel="0" collapsed="false">
      <c r="A754" s="1" t="s">
        <v>985</v>
      </c>
      <c r="B754" s="1" t="s">
        <v>79</v>
      </c>
      <c r="C754" s="1" t="s">
        <v>85</v>
      </c>
    </row>
    <row r="755" customFormat="false" ht="15" hidden="false" customHeight="true" outlineLevel="0" collapsed="false">
      <c r="A755" s="1" t="s">
        <v>986</v>
      </c>
      <c r="B755" s="1" t="s">
        <v>79</v>
      </c>
      <c r="C755" s="1" t="s">
        <v>85</v>
      </c>
    </row>
    <row r="756" customFormat="false" ht="15" hidden="false" customHeight="true" outlineLevel="0" collapsed="false">
      <c r="A756" s="1" t="s">
        <v>33</v>
      </c>
      <c r="B756" s="1" t="s">
        <v>83</v>
      </c>
      <c r="C756" s="1" t="s">
        <v>80</v>
      </c>
    </row>
    <row r="757" customFormat="false" ht="15" hidden="false" customHeight="true" outlineLevel="0" collapsed="false">
      <c r="A757" s="1" t="s">
        <v>987</v>
      </c>
      <c r="B757" s="1" t="s">
        <v>95</v>
      </c>
      <c r="C757" s="1" t="s">
        <v>96</v>
      </c>
    </row>
    <row r="758" customFormat="false" ht="15" hidden="false" customHeight="true" outlineLevel="0" collapsed="false">
      <c r="A758" s="1" t="s">
        <v>988</v>
      </c>
      <c r="B758" s="1" t="s">
        <v>83</v>
      </c>
      <c r="C758" s="1" t="s">
        <v>80</v>
      </c>
    </row>
    <row r="759" customFormat="false" ht="15" hidden="false" customHeight="true" outlineLevel="0" collapsed="false">
      <c r="A759" s="1" t="s">
        <v>989</v>
      </c>
      <c r="B759" s="1" t="s">
        <v>85</v>
      </c>
      <c r="C759" s="1" t="s">
        <v>102</v>
      </c>
    </row>
    <row r="760" customFormat="false" ht="15" hidden="false" customHeight="true" outlineLevel="0" collapsed="false">
      <c r="A760" s="1" t="s">
        <v>990</v>
      </c>
      <c r="B760" s="1" t="s">
        <v>95</v>
      </c>
      <c r="C760" s="1" t="s">
        <v>96</v>
      </c>
    </row>
    <row r="761" customFormat="false" ht="15" hidden="false" customHeight="true" outlineLevel="0" collapsed="false">
      <c r="A761" s="1" t="s">
        <v>991</v>
      </c>
      <c r="B761" s="1" t="s">
        <v>85</v>
      </c>
      <c r="C761" s="1" t="s">
        <v>80</v>
      </c>
    </row>
    <row r="762" customFormat="false" ht="15" hidden="false" customHeight="true" outlineLevel="0" collapsed="false">
      <c r="A762" s="1" t="s">
        <v>992</v>
      </c>
      <c r="B762" s="1" t="s">
        <v>102</v>
      </c>
      <c r="C762" s="1" t="s">
        <v>80</v>
      </c>
    </row>
    <row r="763" customFormat="false" ht="15" hidden="false" customHeight="true" outlineLevel="0" collapsed="false">
      <c r="A763" s="1" t="s">
        <v>993</v>
      </c>
      <c r="B763" s="1" t="s">
        <v>122</v>
      </c>
      <c r="C763" s="1" t="s">
        <v>231</v>
      </c>
    </row>
    <row r="764" customFormat="false" ht="15" hidden="false" customHeight="true" outlineLevel="0" collapsed="false">
      <c r="A764" s="1" t="s">
        <v>994</v>
      </c>
      <c r="B764" s="1" t="s">
        <v>93</v>
      </c>
      <c r="C764" s="1" t="s">
        <v>80</v>
      </c>
    </row>
    <row r="765" customFormat="false" ht="15" hidden="false" customHeight="true" outlineLevel="0" collapsed="false">
      <c r="A765" s="1" t="s">
        <v>995</v>
      </c>
      <c r="B765" s="1" t="s">
        <v>85</v>
      </c>
      <c r="C765" s="1" t="s">
        <v>80</v>
      </c>
    </row>
    <row r="766" customFormat="false" ht="15" hidden="false" customHeight="true" outlineLevel="0" collapsed="false">
      <c r="A766" s="1" t="s">
        <v>996</v>
      </c>
      <c r="B766" s="1" t="s">
        <v>83</v>
      </c>
      <c r="C766" s="1" t="s">
        <v>82</v>
      </c>
    </row>
    <row r="767" customFormat="false" ht="15" hidden="false" customHeight="true" outlineLevel="0" collapsed="false">
      <c r="A767" s="1" t="s">
        <v>997</v>
      </c>
      <c r="B767" s="1" t="s">
        <v>82</v>
      </c>
      <c r="C767" s="1" t="s">
        <v>80</v>
      </c>
    </row>
    <row r="768" customFormat="false" ht="15" hidden="false" customHeight="true" outlineLevel="0" collapsed="false">
      <c r="A768" s="1" t="s">
        <v>998</v>
      </c>
      <c r="B768" s="1" t="s">
        <v>493</v>
      </c>
      <c r="C768" s="1" t="s">
        <v>87</v>
      </c>
    </row>
    <row r="769" customFormat="false" ht="15" hidden="false" customHeight="true" outlineLevel="0" collapsed="false">
      <c r="A769" s="1" t="s">
        <v>999</v>
      </c>
      <c r="B769" s="1" t="s">
        <v>93</v>
      </c>
      <c r="C769" s="1" t="s">
        <v>80</v>
      </c>
    </row>
    <row r="770" customFormat="false" ht="15" hidden="false" customHeight="true" outlineLevel="0" collapsed="false">
      <c r="A770" s="1" t="s">
        <v>1000</v>
      </c>
      <c r="B770" s="1" t="s">
        <v>95</v>
      </c>
      <c r="C770" s="1" t="s">
        <v>80</v>
      </c>
    </row>
    <row r="771" customFormat="false" ht="15" hidden="false" customHeight="true" outlineLevel="0" collapsed="false">
      <c r="A771" s="1" t="s">
        <v>1001</v>
      </c>
      <c r="B771" s="1" t="s">
        <v>79</v>
      </c>
      <c r="C771" s="1" t="s">
        <v>80</v>
      </c>
    </row>
    <row r="772" customFormat="false" ht="15" hidden="false" customHeight="true" outlineLevel="0" collapsed="false">
      <c r="A772" s="1" t="s">
        <v>1002</v>
      </c>
      <c r="B772" s="1" t="s">
        <v>82</v>
      </c>
      <c r="C772" s="1" t="s">
        <v>80</v>
      </c>
    </row>
    <row r="773" customFormat="false" ht="15" hidden="false" customHeight="true" outlineLevel="0" collapsed="false">
      <c r="A773" s="1" t="s">
        <v>1003</v>
      </c>
      <c r="B773" s="1" t="s">
        <v>93</v>
      </c>
      <c r="C773" s="1" t="s">
        <v>169</v>
      </c>
    </row>
    <row r="774" customFormat="false" ht="15" hidden="false" customHeight="true" outlineLevel="0" collapsed="false">
      <c r="A774" s="1" t="s">
        <v>1004</v>
      </c>
      <c r="B774" s="1" t="s">
        <v>85</v>
      </c>
      <c r="C774" s="1" t="s">
        <v>96</v>
      </c>
    </row>
    <row r="775" customFormat="false" ht="15" hidden="false" customHeight="true" outlineLevel="0" collapsed="false">
      <c r="A775" s="1" t="s">
        <v>1005</v>
      </c>
      <c r="B775" s="1" t="s">
        <v>102</v>
      </c>
      <c r="C775" s="1" t="s">
        <v>193</v>
      </c>
    </row>
    <row r="776" customFormat="false" ht="15" hidden="false" customHeight="true" outlineLevel="0" collapsed="false">
      <c r="A776" s="1" t="s">
        <v>1006</v>
      </c>
      <c r="B776" s="1" t="s">
        <v>85</v>
      </c>
      <c r="C776" s="1" t="s">
        <v>102</v>
      </c>
    </row>
    <row r="777" customFormat="false" ht="15" hidden="false" customHeight="true" outlineLevel="0" collapsed="false">
      <c r="A777" s="1" t="s">
        <v>1007</v>
      </c>
      <c r="B777" s="1" t="s">
        <v>96</v>
      </c>
      <c r="C777" s="1" t="s">
        <v>95</v>
      </c>
    </row>
    <row r="778" customFormat="false" ht="15" hidden="false" customHeight="true" outlineLevel="0" collapsed="false">
      <c r="A778" s="1" t="s">
        <v>1008</v>
      </c>
      <c r="B778" s="1" t="s">
        <v>95</v>
      </c>
      <c r="C778" s="1" t="s">
        <v>80</v>
      </c>
    </row>
    <row r="779" customFormat="false" ht="15" hidden="false" customHeight="true" outlineLevel="0" collapsed="false">
      <c r="A779" s="1" t="s">
        <v>1009</v>
      </c>
      <c r="B779" s="1" t="s">
        <v>95</v>
      </c>
      <c r="C779" s="1" t="s">
        <v>80</v>
      </c>
    </row>
    <row r="780" customFormat="false" ht="15" hidden="false" customHeight="true" outlineLevel="0" collapsed="false">
      <c r="A780" s="1" t="s">
        <v>1010</v>
      </c>
      <c r="B780" s="1" t="s">
        <v>102</v>
      </c>
      <c r="C780" s="1" t="s">
        <v>193</v>
      </c>
    </row>
    <row r="781" customFormat="false" ht="15" hidden="false" customHeight="true" outlineLevel="0" collapsed="false">
      <c r="A781" s="1" t="s">
        <v>1011</v>
      </c>
      <c r="B781" s="1" t="s">
        <v>102</v>
      </c>
      <c r="C781" s="1" t="s">
        <v>85</v>
      </c>
    </row>
    <row r="782" customFormat="false" ht="15" hidden="false" customHeight="true" outlineLevel="0" collapsed="false">
      <c r="A782" s="1" t="s">
        <v>1012</v>
      </c>
      <c r="B782" s="1" t="s">
        <v>85</v>
      </c>
      <c r="C782" s="1" t="s">
        <v>102</v>
      </c>
    </row>
    <row r="783" customFormat="false" ht="15" hidden="false" customHeight="true" outlineLevel="0" collapsed="false">
      <c r="A783" s="1" t="s">
        <v>1013</v>
      </c>
      <c r="B783" s="1" t="s">
        <v>85</v>
      </c>
      <c r="C783" s="1" t="s">
        <v>102</v>
      </c>
    </row>
    <row r="784" customFormat="false" ht="15" hidden="false" customHeight="true" outlineLevel="0" collapsed="false">
      <c r="A784" s="1" t="s">
        <v>1014</v>
      </c>
      <c r="B784" s="1" t="s">
        <v>96</v>
      </c>
      <c r="C784" s="1" t="s">
        <v>80</v>
      </c>
    </row>
    <row r="785" customFormat="false" ht="15" hidden="false" customHeight="true" outlineLevel="0" collapsed="false">
      <c r="A785" s="1" t="s">
        <v>1015</v>
      </c>
      <c r="B785" s="1" t="s">
        <v>126</v>
      </c>
      <c r="C785" s="1" t="s">
        <v>117</v>
      </c>
    </row>
    <row r="786" customFormat="false" ht="15" hidden="false" customHeight="true" outlineLevel="0" collapsed="false">
      <c r="A786" s="1" t="s">
        <v>1016</v>
      </c>
      <c r="B786" s="1" t="s">
        <v>79</v>
      </c>
      <c r="C786" s="1" t="s">
        <v>80</v>
      </c>
    </row>
    <row r="787" customFormat="false" ht="15" hidden="false" customHeight="true" outlineLevel="0" collapsed="false">
      <c r="A787" s="1" t="s">
        <v>1017</v>
      </c>
      <c r="B787" s="1" t="s">
        <v>83</v>
      </c>
      <c r="C787" s="1" t="s">
        <v>80</v>
      </c>
    </row>
    <row r="788" customFormat="false" ht="15" hidden="false" customHeight="true" outlineLevel="0" collapsed="false">
      <c r="A788" s="1" t="s">
        <v>1018</v>
      </c>
      <c r="B788" s="1" t="s">
        <v>82</v>
      </c>
      <c r="C788" s="1" t="s">
        <v>83</v>
      </c>
    </row>
    <row r="789" customFormat="false" ht="15" hidden="false" customHeight="true" outlineLevel="0" collapsed="false">
      <c r="A789" s="1" t="s">
        <v>1019</v>
      </c>
      <c r="B789" s="1" t="s">
        <v>102</v>
      </c>
      <c r="C789" s="1" t="s">
        <v>80</v>
      </c>
    </row>
    <row r="790" customFormat="false" ht="15" hidden="false" customHeight="true" outlineLevel="0" collapsed="false">
      <c r="A790" s="1" t="s">
        <v>1020</v>
      </c>
      <c r="B790" s="1" t="s">
        <v>85</v>
      </c>
      <c r="C790" s="1" t="s">
        <v>1021</v>
      </c>
    </row>
    <row r="791" customFormat="false" ht="15" hidden="false" customHeight="true" outlineLevel="0" collapsed="false">
      <c r="A791" s="1" t="s">
        <v>1022</v>
      </c>
      <c r="B791" s="1" t="s">
        <v>93</v>
      </c>
      <c r="C791" s="1" t="s">
        <v>466</v>
      </c>
    </row>
    <row r="792" customFormat="false" ht="15" hidden="false" customHeight="true" outlineLevel="0" collapsed="false">
      <c r="A792" s="1" t="s">
        <v>1023</v>
      </c>
      <c r="B792" s="1" t="s">
        <v>117</v>
      </c>
      <c r="C792" s="1" t="s">
        <v>138</v>
      </c>
    </row>
    <row r="793" customFormat="false" ht="15" hidden="false" customHeight="true" outlineLevel="0" collapsed="false">
      <c r="A793" s="1" t="s">
        <v>1024</v>
      </c>
      <c r="B793" s="1" t="s">
        <v>93</v>
      </c>
      <c r="C793" s="1" t="s">
        <v>169</v>
      </c>
    </row>
    <row r="794" customFormat="false" ht="15" hidden="false" customHeight="true" outlineLevel="0" collapsed="false">
      <c r="A794" s="1" t="s">
        <v>1025</v>
      </c>
      <c r="B794" s="1" t="s">
        <v>82</v>
      </c>
      <c r="C794" s="1" t="s">
        <v>145</v>
      </c>
    </row>
    <row r="795" customFormat="false" ht="15" hidden="false" customHeight="true" outlineLevel="0" collapsed="false">
      <c r="A795" s="1" t="s">
        <v>1026</v>
      </c>
      <c r="B795" s="1" t="s">
        <v>82</v>
      </c>
      <c r="C795" s="1" t="s">
        <v>145</v>
      </c>
    </row>
    <row r="796" customFormat="false" ht="15" hidden="false" customHeight="true" outlineLevel="0" collapsed="false">
      <c r="A796" s="1" t="s">
        <v>1027</v>
      </c>
      <c r="B796" s="1" t="s">
        <v>126</v>
      </c>
      <c r="C796" s="1" t="s">
        <v>227</v>
      </c>
    </row>
    <row r="797" customFormat="false" ht="15" hidden="false" customHeight="true" outlineLevel="0" collapsed="false">
      <c r="A797" s="1" t="s">
        <v>1028</v>
      </c>
      <c r="B797" s="1" t="s">
        <v>79</v>
      </c>
      <c r="C797" s="1" t="s">
        <v>80</v>
      </c>
    </row>
    <row r="798" customFormat="false" ht="15" hidden="false" customHeight="true" outlineLevel="0" collapsed="false">
      <c r="A798" s="1" t="s">
        <v>1029</v>
      </c>
      <c r="B798" s="1" t="s">
        <v>105</v>
      </c>
      <c r="C798" s="1" t="s">
        <v>204</v>
      </c>
    </row>
    <row r="799" customFormat="false" ht="15" hidden="false" customHeight="true" outlineLevel="0" collapsed="false">
      <c r="A799" s="1" t="s">
        <v>1030</v>
      </c>
      <c r="B799" s="1" t="s">
        <v>142</v>
      </c>
      <c r="C799" s="1" t="s">
        <v>80</v>
      </c>
    </row>
    <row r="800" customFormat="false" ht="15" hidden="false" customHeight="true" outlineLevel="0" collapsed="false">
      <c r="A800" s="1" t="s">
        <v>1031</v>
      </c>
      <c r="B800" s="1" t="s">
        <v>111</v>
      </c>
      <c r="C800" s="1" t="s">
        <v>112</v>
      </c>
    </row>
    <row r="801" customFormat="false" ht="15" hidden="false" customHeight="true" outlineLevel="0" collapsed="false">
      <c r="A801" s="1" t="s">
        <v>1032</v>
      </c>
      <c r="B801" s="1" t="s">
        <v>85</v>
      </c>
      <c r="C801" s="1" t="s">
        <v>122</v>
      </c>
    </row>
    <row r="802" customFormat="false" ht="15" hidden="false" customHeight="true" outlineLevel="0" collapsed="false">
      <c r="A802" s="1" t="s">
        <v>1033</v>
      </c>
      <c r="B802" s="1" t="s">
        <v>93</v>
      </c>
      <c r="C802" s="1" t="s">
        <v>887</v>
      </c>
    </row>
    <row r="803" customFormat="false" ht="15" hidden="false" customHeight="true" outlineLevel="0" collapsed="false">
      <c r="A803" s="1" t="s">
        <v>1034</v>
      </c>
      <c r="B803" s="1" t="s">
        <v>82</v>
      </c>
      <c r="C803" s="1" t="s">
        <v>1035</v>
      </c>
    </row>
    <row r="804" customFormat="false" ht="15" hidden="false" customHeight="true" outlineLevel="0" collapsed="false">
      <c r="A804" s="1" t="s">
        <v>1036</v>
      </c>
      <c r="B804" s="1" t="s">
        <v>82</v>
      </c>
      <c r="C804" s="1" t="s">
        <v>1035</v>
      </c>
    </row>
    <row r="805" customFormat="false" ht="15" hidden="false" customHeight="true" outlineLevel="0" collapsed="false">
      <c r="A805" s="1" t="s">
        <v>1037</v>
      </c>
      <c r="B805" s="1" t="s">
        <v>82</v>
      </c>
      <c r="C805" s="1" t="s">
        <v>1038</v>
      </c>
    </row>
    <row r="806" customFormat="false" ht="15" hidden="false" customHeight="true" outlineLevel="0" collapsed="false">
      <c r="A806" s="1" t="s">
        <v>1039</v>
      </c>
      <c r="B806" s="1" t="s">
        <v>126</v>
      </c>
      <c r="C806" s="1" t="s">
        <v>227</v>
      </c>
    </row>
    <row r="807" customFormat="false" ht="15" hidden="false" customHeight="true" outlineLevel="0" collapsed="false">
      <c r="A807" s="1" t="s">
        <v>1040</v>
      </c>
      <c r="B807" s="1" t="s">
        <v>102</v>
      </c>
      <c r="C807" s="1" t="s">
        <v>193</v>
      </c>
    </row>
    <row r="808" customFormat="false" ht="15" hidden="false" customHeight="true" outlineLevel="0" collapsed="false">
      <c r="A808" s="1" t="s">
        <v>1041</v>
      </c>
      <c r="B808" s="1" t="s">
        <v>79</v>
      </c>
      <c r="C808" s="1" t="s">
        <v>199</v>
      </c>
    </row>
    <row r="809" customFormat="false" ht="15" hidden="false" customHeight="true" outlineLevel="0" collapsed="false">
      <c r="A809" s="1" t="s">
        <v>1042</v>
      </c>
      <c r="B809" s="1" t="s">
        <v>79</v>
      </c>
      <c r="C809" s="1" t="s">
        <v>199</v>
      </c>
    </row>
    <row r="810" customFormat="false" ht="15" hidden="false" customHeight="true" outlineLevel="0" collapsed="false">
      <c r="A810" s="1" t="s">
        <v>1043</v>
      </c>
      <c r="B810" s="1" t="s">
        <v>79</v>
      </c>
      <c r="C810" s="1" t="s">
        <v>1044</v>
      </c>
    </row>
    <row r="811" customFormat="false" ht="15" hidden="false" customHeight="true" outlineLevel="0" collapsed="false">
      <c r="A811" s="1" t="s">
        <v>1045</v>
      </c>
      <c r="B811" s="1" t="s">
        <v>105</v>
      </c>
      <c r="C811" s="1" t="s">
        <v>155</v>
      </c>
    </row>
    <row r="812" customFormat="false" ht="15" hidden="false" customHeight="true" outlineLevel="0" collapsed="false">
      <c r="A812" s="1" t="s">
        <v>1046</v>
      </c>
      <c r="B812" s="1" t="s">
        <v>79</v>
      </c>
      <c r="C812" s="1" t="s">
        <v>80</v>
      </c>
    </row>
    <row r="813" customFormat="false" ht="15" hidden="false" customHeight="true" outlineLevel="0" collapsed="false">
      <c r="A813" s="1" t="s">
        <v>1047</v>
      </c>
      <c r="B813" s="1" t="s">
        <v>111</v>
      </c>
      <c r="C813" s="1" t="s">
        <v>112</v>
      </c>
    </row>
    <row r="814" customFormat="false" ht="15" hidden="false" customHeight="true" outlineLevel="0" collapsed="false">
      <c r="A814" s="1" t="s">
        <v>1048</v>
      </c>
      <c r="B814" s="1" t="s">
        <v>93</v>
      </c>
      <c r="C814" s="1" t="s">
        <v>100</v>
      </c>
    </row>
    <row r="815" customFormat="false" ht="15" hidden="false" customHeight="true" outlineLevel="0" collapsed="false">
      <c r="A815" s="1" t="s">
        <v>1049</v>
      </c>
      <c r="B815" s="1" t="s">
        <v>105</v>
      </c>
      <c r="C815" s="1" t="s">
        <v>1050</v>
      </c>
    </row>
    <row r="816" customFormat="false" ht="15" hidden="false" customHeight="true" outlineLevel="0" collapsed="false">
      <c r="A816" s="1" t="s">
        <v>1051</v>
      </c>
      <c r="B816" s="1" t="s">
        <v>111</v>
      </c>
      <c r="C816" s="1" t="s">
        <v>112</v>
      </c>
    </row>
    <row r="817" customFormat="false" ht="15" hidden="false" customHeight="true" outlineLevel="0" collapsed="false">
      <c r="A817" s="1" t="s">
        <v>1052</v>
      </c>
      <c r="B817" s="1" t="s">
        <v>102</v>
      </c>
      <c r="C817" s="1" t="s">
        <v>193</v>
      </c>
    </row>
    <row r="818" customFormat="false" ht="15" hidden="false" customHeight="true" outlineLevel="0" collapsed="false">
      <c r="A818" s="1" t="s">
        <v>1053</v>
      </c>
      <c r="B818" s="1" t="s">
        <v>82</v>
      </c>
      <c r="C818" s="1" t="s">
        <v>1054</v>
      </c>
    </row>
    <row r="819" customFormat="false" ht="15" hidden="false" customHeight="true" outlineLevel="0" collapsed="false">
      <c r="A819" s="1" t="s">
        <v>38</v>
      </c>
      <c r="B819" s="1" t="s">
        <v>493</v>
      </c>
      <c r="C819" s="1" t="s">
        <v>117</v>
      </c>
    </row>
    <row r="820" customFormat="false" ht="15" hidden="false" customHeight="true" outlineLevel="0" collapsed="false">
      <c r="A820" s="1" t="s">
        <v>20</v>
      </c>
      <c r="B820" s="1" t="s">
        <v>87</v>
      </c>
      <c r="C820" s="1" t="s">
        <v>227</v>
      </c>
    </row>
    <row r="821" customFormat="false" ht="15" hidden="false" customHeight="true" outlineLevel="0" collapsed="false">
      <c r="A821" s="1" t="s">
        <v>1055</v>
      </c>
      <c r="B821" s="1" t="s">
        <v>93</v>
      </c>
      <c r="C821" s="1" t="s">
        <v>1056</v>
      </c>
    </row>
    <row r="822" customFormat="false" ht="15" hidden="false" customHeight="true" outlineLevel="0" collapsed="false">
      <c r="A822" s="1" t="s">
        <v>1057</v>
      </c>
      <c r="B822" s="1" t="s">
        <v>79</v>
      </c>
      <c r="C822" s="1" t="s">
        <v>80</v>
      </c>
    </row>
    <row r="823" customFormat="false" ht="15" hidden="false" customHeight="true" outlineLevel="0" collapsed="false">
      <c r="A823" s="1" t="s">
        <v>22</v>
      </c>
      <c r="B823" s="1" t="s">
        <v>79</v>
      </c>
      <c r="C823" s="1" t="s">
        <v>80</v>
      </c>
    </row>
    <row r="824" customFormat="false" ht="15" hidden="false" customHeight="true" outlineLevel="0" collapsed="false">
      <c r="A824" s="1" t="s">
        <v>1058</v>
      </c>
      <c r="B824" s="1" t="s">
        <v>93</v>
      </c>
      <c r="C824" s="1" t="s">
        <v>169</v>
      </c>
    </row>
    <row r="825" customFormat="false" ht="15" hidden="false" customHeight="true" outlineLevel="0" collapsed="false">
      <c r="A825" s="1" t="s">
        <v>1059</v>
      </c>
      <c r="B825" s="1" t="s">
        <v>93</v>
      </c>
      <c r="C825" s="1" t="s">
        <v>227</v>
      </c>
    </row>
    <row r="826" customFormat="false" ht="15" hidden="false" customHeight="true" outlineLevel="0" collapsed="false">
      <c r="A826" s="1" t="s">
        <v>1060</v>
      </c>
      <c r="B826" s="1" t="s">
        <v>102</v>
      </c>
      <c r="C826" s="1" t="s">
        <v>80</v>
      </c>
    </row>
    <row r="827" customFormat="false" ht="15" hidden="false" customHeight="true" outlineLevel="0" collapsed="false">
      <c r="A827" s="1" t="s">
        <v>1061</v>
      </c>
      <c r="B827" s="1" t="s">
        <v>102</v>
      </c>
      <c r="C827" s="1" t="s">
        <v>85</v>
      </c>
    </row>
    <row r="828" customFormat="false" ht="15" hidden="false" customHeight="true" outlineLevel="0" collapsed="false">
      <c r="A828" s="1" t="s">
        <v>1062</v>
      </c>
      <c r="B828" s="1" t="s">
        <v>102</v>
      </c>
      <c r="C828" s="1" t="s">
        <v>80</v>
      </c>
    </row>
    <row r="829" customFormat="false" ht="15" hidden="false" customHeight="true" outlineLevel="0" collapsed="false">
      <c r="A829" s="1" t="s">
        <v>1063</v>
      </c>
      <c r="B829" s="1" t="s">
        <v>102</v>
      </c>
      <c r="C829" s="1" t="s">
        <v>80</v>
      </c>
    </row>
    <row r="830" customFormat="false" ht="15" hidden="false" customHeight="true" outlineLevel="0" collapsed="false">
      <c r="A830" s="1" t="s">
        <v>1064</v>
      </c>
      <c r="B830" s="1" t="s">
        <v>102</v>
      </c>
      <c r="C830" s="1" t="s">
        <v>80</v>
      </c>
    </row>
    <row r="831" customFormat="false" ht="15" hidden="false" customHeight="true" outlineLevel="0" collapsed="false">
      <c r="A831" s="1" t="s">
        <v>1065</v>
      </c>
      <c r="B831" s="1" t="s">
        <v>102</v>
      </c>
      <c r="C831" s="1" t="s">
        <v>80</v>
      </c>
    </row>
    <row r="832" customFormat="false" ht="15" hidden="false" customHeight="true" outlineLevel="0" collapsed="false">
      <c r="A832" s="1" t="s">
        <v>1066</v>
      </c>
      <c r="B832" s="1" t="s">
        <v>102</v>
      </c>
      <c r="C832" s="1" t="s">
        <v>142</v>
      </c>
    </row>
    <row r="833" customFormat="false" ht="15" hidden="false" customHeight="true" outlineLevel="0" collapsed="false">
      <c r="A833" s="1" t="s">
        <v>1067</v>
      </c>
      <c r="B833" s="1" t="s">
        <v>79</v>
      </c>
      <c r="C833" s="1" t="s">
        <v>80</v>
      </c>
    </row>
    <row r="834" customFormat="false" ht="15" hidden="false" customHeight="true" outlineLevel="0" collapsed="false">
      <c r="A834" s="1" t="s">
        <v>1068</v>
      </c>
      <c r="B834" s="1" t="s">
        <v>95</v>
      </c>
      <c r="C834" s="1" t="s">
        <v>80</v>
      </c>
    </row>
    <row r="835" customFormat="false" ht="15" hidden="false" customHeight="true" outlineLevel="0" collapsed="false">
      <c r="A835" s="1" t="s">
        <v>1069</v>
      </c>
      <c r="B835" s="1" t="s">
        <v>85</v>
      </c>
      <c r="C835" s="1" t="s">
        <v>537</v>
      </c>
    </row>
    <row r="836" customFormat="false" ht="15" hidden="false" customHeight="true" outlineLevel="0" collapsed="false">
      <c r="A836" s="1" t="s">
        <v>1070</v>
      </c>
      <c r="B836" s="1" t="s">
        <v>85</v>
      </c>
      <c r="C836" s="1" t="s">
        <v>369</v>
      </c>
    </row>
    <row r="837" customFormat="false" ht="15" hidden="false" customHeight="true" outlineLevel="0" collapsed="false">
      <c r="A837" s="1" t="s">
        <v>1071</v>
      </c>
      <c r="B837" s="1" t="s">
        <v>85</v>
      </c>
      <c r="C837" s="1" t="s">
        <v>102</v>
      </c>
    </row>
    <row r="838" customFormat="false" ht="15" hidden="false" customHeight="true" outlineLevel="0" collapsed="false">
      <c r="A838" s="1" t="s">
        <v>1072</v>
      </c>
      <c r="B838" s="1" t="s">
        <v>111</v>
      </c>
      <c r="C838" s="1" t="s">
        <v>112</v>
      </c>
    </row>
    <row r="839" customFormat="false" ht="15" hidden="false" customHeight="true" outlineLevel="0" collapsed="false">
      <c r="A839" s="1" t="s">
        <v>1073</v>
      </c>
      <c r="B839" s="1" t="s">
        <v>142</v>
      </c>
      <c r="C839" s="1" t="s">
        <v>327</v>
      </c>
    </row>
    <row r="840" customFormat="false" ht="15" hidden="false" customHeight="true" outlineLevel="0" collapsed="false">
      <c r="A840" s="1" t="s">
        <v>1074</v>
      </c>
      <c r="B840" s="1" t="s">
        <v>82</v>
      </c>
      <c r="C840" s="1" t="s">
        <v>1075</v>
      </c>
    </row>
    <row r="841" customFormat="false" ht="15" hidden="false" customHeight="true" outlineLevel="0" collapsed="false">
      <c r="A841" s="1" t="s">
        <v>1076</v>
      </c>
      <c r="B841" s="1" t="s">
        <v>111</v>
      </c>
      <c r="C841" s="1" t="s">
        <v>111</v>
      </c>
    </row>
    <row r="842" customFormat="false" ht="15" hidden="false" customHeight="true" outlineLevel="0" collapsed="false">
      <c r="A842" s="1" t="s">
        <v>1077</v>
      </c>
      <c r="B842" s="1" t="s">
        <v>85</v>
      </c>
      <c r="C842" s="1" t="s">
        <v>122</v>
      </c>
    </row>
    <row r="843" customFormat="false" ht="15" hidden="false" customHeight="true" outlineLevel="0" collapsed="false">
      <c r="A843" s="1" t="s">
        <v>1078</v>
      </c>
      <c r="B843" s="1" t="s">
        <v>122</v>
      </c>
      <c r="C843" s="1" t="s">
        <v>85</v>
      </c>
    </row>
    <row r="844" customFormat="false" ht="15" hidden="false" customHeight="true" outlineLevel="0" collapsed="false">
      <c r="A844" s="1" t="s">
        <v>1079</v>
      </c>
      <c r="B844" s="1" t="s">
        <v>122</v>
      </c>
      <c r="C844" s="1" t="s">
        <v>85</v>
      </c>
    </row>
    <row r="845" customFormat="false" ht="15" hidden="false" customHeight="true" outlineLevel="0" collapsed="false">
      <c r="A845" s="1" t="s">
        <v>1080</v>
      </c>
      <c r="B845" s="1" t="s">
        <v>85</v>
      </c>
      <c r="C845" s="1" t="s">
        <v>1021</v>
      </c>
    </row>
    <row r="846" customFormat="false" ht="15" hidden="false" customHeight="true" outlineLevel="0" collapsed="false">
      <c r="A846" s="1" t="s">
        <v>1081</v>
      </c>
      <c r="B846" s="1" t="s">
        <v>142</v>
      </c>
      <c r="C846" s="1" t="s">
        <v>327</v>
      </c>
    </row>
    <row r="847" customFormat="false" ht="15" hidden="false" customHeight="true" outlineLevel="0" collapsed="false">
      <c r="A847" s="1" t="s">
        <v>1082</v>
      </c>
      <c r="B847" s="1" t="s">
        <v>142</v>
      </c>
      <c r="C847" s="1" t="s">
        <v>327</v>
      </c>
    </row>
    <row r="848" customFormat="false" ht="15" hidden="false" customHeight="true" outlineLevel="0" collapsed="false">
      <c r="A848" s="1" t="s">
        <v>1083</v>
      </c>
      <c r="B848" s="1" t="s">
        <v>82</v>
      </c>
      <c r="C848" s="1" t="s">
        <v>1084</v>
      </c>
    </row>
    <row r="849" customFormat="false" ht="15" hidden="false" customHeight="true" outlineLevel="0" collapsed="false">
      <c r="A849" s="1" t="s">
        <v>1085</v>
      </c>
      <c r="B849" s="1" t="s">
        <v>93</v>
      </c>
      <c r="C849" s="1" t="s">
        <v>169</v>
      </c>
    </row>
    <row r="850" customFormat="false" ht="15" hidden="false" customHeight="true" outlineLevel="0" collapsed="false">
      <c r="A850" s="1" t="s">
        <v>1086</v>
      </c>
      <c r="B850" s="1" t="s">
        <v>126</v>
      </c>
      <c r="C850" s="1" t="s">
        <v>1087</v>
      </c>
    </row>
    <row r="851" customFormat="false" ht="15" hidden="false" customHeight="true" outlineLevel="0" collapsed="false">
      <c r="A851" s="1" t="s">
        <v>1088</v>
      </c>
      <c r="B851" s="1" t="s">
        <v>79</v>
      </c>
      <c r="C851" s="1" t="s">
        <v>80</v>
      </c>
    </row>
    <row r="852" customFormat="false" ht="15" hidden="false" customHeight="true" outlineLevel="0" collapsed="false">
      <c r="A852" s="1" t="s">
        <v>1089</v>
      </c>
      <c r="B852" s="1" t="s">
        <v>102</v>
      </c>
      <c r="C852" s="1" t="s">
        <v>193</v>
      </c>
    </row>
    <row r="853" customFormat="false" ht="15" hidden="false" customHeight="true" outlineLevel="0" collapsed="false">
      <c r="A853" s="1" t="s">
        <v>1090</v>
      </c>
      <c r="B853" s="1" t="s">
        <v>79</v>
      </c>
      <c r="C853" s="1" t="s">
        <v>80</v>
      </c>
    </row>
    <row r="854" customFormat="false" ht="15" hidden="false" customHeight="true" outlineLevel="0" collapsed="false">
      <c r="A854" s="1" t="s">
        <v>1091</v>
      </c>
      <c r="B854" s="1" t="s">
        <v>93</v>
      </c>
      <c r="C854" s="1" t="s">
        <v>160</v>
      </c>
    </row>
    <row r="855" customFormat="false" ht="15" hidden="false" customHeight="true" outlineLevel="0" collapsed="false">
      <c r="A855" s="1" t="s">
        <v>1092</v>
      </c>
      <c r="B855" s="1" t="s">
        <v>142</v>
      </c>
      <c r="C855" s="1" t="s">
        <v>263</v>
      </c>
    </row>
    <row r="856" customFormat="false" ht="15" hidden="false" customHeight="true" outlineLevel="0" collapsed="false">
      <c r="A856" s="1" t="s">
        <v>1093</v>
      </c>
      <c r="B856" s="1" t="s">
        <v>93</v>
      </c>
      <c r="C856" s="1" t="s">
        <v>169</v>
      </c>
    </row>
    <row r="857" customFormat="false" ht="15" hidden="false" customHeight="true" outlineLevel="0" collapsed="false">
      <c r="A857" s="1" t="s">
        <v>1094</v>
      </c>
      <c r="B857" s="1" t="s">
        <v>79</v>
      </c>
      <c r="C857" s="1" t="s">
        <v>80</v>
      </c>
    </row>
    <row r="858" customFormat="false" ht="15" hidden="false" customHeight="true" outlineLevel="0" collapsed="false">
      <c r="A858" s="1" t="s">
        <v>1095</v>
      </c>
      <c r="B858" s="1" t="s">
        <v>93</v>
      </c>
      <c r="C858" s="1" t="s">
        <v>169</v>
      </c>
    </row>
    <row r="859" customFormat="false" ht="15" hidden="false" customHeight="true" outlineLevel="0" collapsed="false">
      <c r="A859" s="1" t="s">
        <v>1096</v>
      </c>
      <c r="B859" s="1" t="s">
        <v>105</v>
      </c>
      <c r="C859" s="1" t="s">
        <v>155</v>
      </c>
    </row>
    <row r="860" customFormat="false" ht="15" hidden="false" customHeight="true" outlineLevel="0" collapsed="false">
      <c r="A860" s="1" t="s">
        <v>1097</v>
      </c>
      <c r="B860" s="1" t="s">
        <v>105</v>
      </c>
      <c r="C860" s="1" t="s">
        <v>155</v>
      </c>
    </row>
    <row r="861" customFormat="false" ht="15" hidden="false" customHeight="true" outlineLevel="0" collapsed="false">
      <c r="A861" s="1" t="s">
        <v>1098</v>
      </c>
      <c r="B861" s="1" t="s">
        <v>105</v>
      </c>
      <c r="C861" s="1" t="s">
        <v>155</v>
      </c>
    </row>
    <row r="862" customFormat="false" ht="15" hidden="false" customHeight="true" outlineLevel="0" collapsed="false">
      <c r="A862" s="1" t="s">
        <v>1099</v>
      </c>
      <c r="B862" s="1" t="s">
        <v>142</v>
      </c>
      <c r="C862" s="1" t="s">
        <v>327</v>
      </c>
    </row>
    <row r="863" customFormat="false" ht="15" hidden="false" customHeight="true" outlineLevel="0" collapsed="false">
      <c r="A863" s="1" t="s">
        <v>1100</v>
      </c>
      <c r="B863" s="1" t="s">
        <v>142</v>
      </c>
      <c r="C863" s="1" t="s">
        <v>327</v>
      </c>
    </row>
    <row r="864" customFormat="false" ht="15" hidden="false" customHeight="true" outlineLevel="0" collapsed="false">
      <c r="A864" s="1" t="s">
        <v>1101</v>
      </c>
      <c r="B864" s="1" t="s">
        <v>142</v>
      </c>
      <c r="C864" s="1" t="s">
        <v>327</v>
      </c>
    </row>
    <row r="865" customFormat="false" ht="15" hidden="false" customHeight="true" outlineLevel="0" collapsed="false">
      <c r="A865" s="1" t="s">
        <v>1102</v>
      </c>
      <c r="B865" s="1" t="s">
        <v>95</v>
      </c>
      <c r="C865" s="1" t="s">
        <v>80</v>
      </c>
    </row>
    <row r="866" customFormat="false" ht="15" hidden="false" customHeight="true" outlineLevel="0" collapsed="false">
      <c r="A866" s="1" t="s">
        <v>1103</v>
      </c>
      <c r="B866" s="1" t="s">
        <v>93</v>
      </c>
      <c r="C866" s="1" t="s">
        <v>160</v>
      </c>
    </row>
    <row r="867" customFormat="false" ht="15" hidden="false" customHeight="true" outlineLevel="0" collapsed="false">
      <c r="A867" s="1" t="s">
        <v>1104</v>
      </c>
      <c r="B867" s="1" t="s">
        <v>82</v>
      </c>
      <c r="C867" s="1" t="s">
        <v>1105</v>
      </c>
    </row>
    <row r="868" customFormat="false" ht="15" hidden="false" customHeight="true" outlineLevel="0" collapsed="false">
      <c r="A868" s="1" t="s">
        <v>1106</v>
      </c>
      <c r="B868" s="1" t="s">
        <v>79</v>
      </c>
      <c r="C868" s="1" t="s">
        <v>80</v>
      </c>
    </row>
    <row r="869" customFormat="false" ht="15" hidden="false" customHeight="true" outlineLevel="0" collapsed="false">
      <c r="A869" s="1" t="s">
        <v>1107</v>
      </c>
      <c r="B869" s="1" t="s">
        <v>493</v>
      </c>
      <c r="C869" s="1" t="s">
        <v>1108</v>
      </c>
    </row>
    <row r="870" customFormat="false" ht="15" hidden="false" customHeight="true" outlineLevel="0" collapsed="false">
      <c r="A870" s="1" t="s">
        <v>1109</v>
      </c>
      <c r="B870" s="1" t="s">
        <v>82</v>
      </c>
      <c r="C870" s="1" t="s">
        <v>613</v>
      </c>
    </row>
    <row r="871" customFormat="false" ht="15" hidden="false" customHeight="true" outlineLevel="0" collapsed="false">
      <c r="A871" s="1" t="s">
        <v>1110</v>
      </c>
      <c r="B871" s="1" t="s">
        <v>96</v>
      </c>
      <c r="C871" s="1" t="s">
        <v>80</v>
      </c>
    </row>
    <row r="872" customFormat="false" ht="15" hidden="false" customHeight="true" outlineLevel="0" collapsed="false">
      <c r="A872" s="1" t="s">
        <v>1111</v>
      </c>
      <c r="B872" s="1" t="s">
        <v>96</v>
      </c>
      <c r="C872" s="1" t="s">
        <v>85</v>
      </c>
    </row>
    <row r="873" customFormat="false" ht="15" hidden="false" customHeight="true" outlineLevel="0" collapsed="false">
      <c r="A873" s="1" t="s">
        <v>1112</v>
      </c>
      <c r="B873" s="1" t="s">
        <v>96</v>
      </c>
      <c r="C873" s="1" t="s">
        <v>80</v>
      </c>
    </row>
    <row r="874" customFormat="false" ht="15" hidden="false" customHeight="true" outlineLevel="0" collapsed="false">
      <c r="A874" s="1" t="s">
        <v>1113</v>
      </c>
      <c r="B874" s="1" t="s">
        <v>93</v>
      </c>
      <c r="C874" s="1" t="s">
        <v>1114</v>
      </c>
    </row>
    <row r="875" customFormat="false" ht="15" hidden="false" customHeight="true" outlineLevel="0" collapsed="false">
      <c r="A875" s="1" t="s">
        <v>1115</v>
      </c>
      <c r="B875" s="1" t="s">
        <v>93</v>
      </c>
      <c r="C875" s="1" t="s">
        <v>169</v>
      </c>
    </row>
    <row r="876" customFormat="false" ht="15" hidden="false" customHeight="true" outlineLevel="0" collapsed="false">
      <c r="A876" s="1" t="s">
        <v>1116</v>
      </c>
      <c r="B876" s="1" t="s">
        <v>95</v>
      </c>
      <c r="C876" s="1" t="s">
        <v>96</v>
      </c>
    </row>
    <row r="877" customFormat="false" ht="15" hidden="false" customHeight="true" outlineLevel="0" collapsed="false">
      <c r="A877" s="1" t="s">
        <v>1117</v>
      </c>
      <c r="B877" s="1" t="s">
        <v>95</v>
      </c>
      <c r="C877" s="1" t="s">
        <v>96</v>
      </c>
    </row>
    <row r="878" customFormat="false" ht="15" hidden="false" customHeight="true" outlineLevel="0" collapsed="false">
      <c r="A878" s="1" t="s">
        <v>28</v>
      </c>
      <c r="B878" s="1" t="s">
        <v>142</v>
      </c>
      <c r="C878" s="1" t="s">
        <v>263</v>
      </c>
    </row>
    <row r="879" customFormat="false" ht="15" hidden="false" customHeight="true" outlineLevel="0" collapsed="false">
      <c r="A879" s="1" t="s">
        <v>14</v>
      </c>
      <c r="B879" s="1" t="s">
        <v>85</v>
      </c>
      <c r="C879" s="1"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2026-09-01T09:45:06Z</dcterms:created>
  <dc:creator>openpyxl</dc:creator>
  <dc:description/>
  <dc:language>en-US</dc:language>
  <cp:lastModifiedBy/>
  <dcterms:modified xsi:type="dcterms:W3CDTF">2026-09-01T11:49:45Z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